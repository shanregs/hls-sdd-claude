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\learn\spec-driven-dev\ms\sdd-with-speckit\hls-project\docs\"/>
    </mc:Choice>
  </mc:AlternateContent>
  <xr:revisionPtr revIDLastSave="0" documentId="13_ncr:20001_{B9B9EA6B-036D-44F6-904C-16931A7DD4D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TTENDANCE Aug-2026" sheetId="1" r:id="rId1"/>
    <sheet name="EXPENSES Aug 2026" sheetId="3" r:id="rId2"/>
    <sheet name="Manager-Details of expensesJul-" sheetId="4" r:id="rId3"/>
    <sheet name="SCHOOL PAYMENT  JUNE 2026" sheetId="5" r:id="rId4"/>
    <sheet name="Sheet4" sheetId="6" r:id="rId5"/>
    <sheet name="Substitute-JUl-2026" sheetId="7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5" l="1"/>
  <c r="G38" i="5"/>
  <c r="F38" i="5"/>
  <c r="F40" i="5" s="1"/>
  <c r="I2" i="4"/>
  <c r="K33" i="3"/>
  <c r="J33" i="3"/>
  <c r="I33" i="3"/>
  <c r="H33" i="3"/>
  <c r="G33" i="3"/>
  <c r="F33" i="3"/>
  <c r="C33" i="3"/>
  <c r="B33" i="3"/>
  <c r="L33" i="3" s="1"/>
  <c r="L32" i="3"/>
  <c r="L31" i="3"/>
  <c r="L30" i="3"/>
  <c r="L29" i="3"/>
  <c r="L28" i="3"/>
  <c r="L27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AU80" i="1"/>
  <c r="AT80" i="1"/>
  <c r="AR80" i="1"/>
  <c r="AK77" i="1"/>
  <c r="AN77" i="1" s="1"/>
  <c r="AK76" i="1"/>
  <c r="AN76" i="1" s="1"/>
  <c r="AK75" i="1"/>
  <c r="AN75" i="1" s="1"/>
  <c r="AK74" i="1"/>
  <c r="AN74" i="1" s="1"/>
  <c r="AU70" i="1"/>
  <c r="AR70" i="1"/>
  <c r="AY69" i="1"/>
  <c r="AX69" i="1"/>
  <c r="AK69" i="1"/>
  <c r="AN69" i="1" s="1"/>
  <c r="AK68" i="1"/>
  <c r="AN68" i="1" s="1"/>
  <c r="AK67" i="1"/>
  <c r="AN67" i="1" s="1"/>
  <c r="AK66" i="1"/>
  <c r="AN66" i="1" s="1"/>
  <c r="AK65" i="1"/>
  <c r="AM65" i="1" s="1"/>
  <c r="AK64" i="1"/>
  <c r="AN64" i="1" s="1"/>
  <c r="AK63" i="1"/>
  <c r="AN63" i="1" s="1"/>
  <c r="AK62" i="1"/>
  <c r="AN62" i="1" s="1"/>
  <c r="AN61" i="1"/>
  <c r="AK61" i="1"/>
  <c r="AM61" i="1" s="1"/>
  <c r="AK60" i="1"/>
  <c r="AN60" i="1" s="1"/>
  <c r="AK59" i="1"/>
  <c r="AN59" i="1" s="1"/>
  <c r="AK58" i="1"/>
  <c r="AN58" i="1" s="1"/>
  <c r="AK57" i="1"/>
  <c r="AN57" i="1" s="1"/>
  <c r="AK56" i="1"/>
  <c r="AN56" i="1" s="1"/>
  <c r="AN55" i="1"/>
  <c r="AK55" i="1"/>
  <c r="AM55" i="1" s="1"/>
  <c r="AK54" i="1"/>
  <c r="AN54" i="1" s="1"/>
  <c r="AK53" i="1"/>
  <c r="AN53" i="1" s="1"/>
  <c r="AN52" i="1"/>
  <c r="AK52" i="1"/>
  <c r="AM52" i="1" s="1"/>
  <c r="AK51" i="1"/>
  <c r="AN51" i="1" s="1"/>
  <c r="AK50" i="1"/>
  <c r="AN50" i="1" s="1"/>
  <c r="AN49" i="1"/>
  <c r="AK49" i="1"/>
  <c r="AM49" i="1" s="1"/>
  <c r="AN48" i="1"/>
  <c r="AK48" i="1"/>
  <c r="AM48" i="1" s="1"/>
  <c r="AK47" i="1"/>
  <c r="AN47" i="1" s="1"/>
  <c r="AK46" i="1"/>
  <c r="AN46" i="1" s="1"/>
  <c r="AK45" i="1"/>
  <c r="AN45" i="1" s="1"/>
  <c r="AK44" i="1"/>
  <c r="AN44" i="1" s="1"/>
  <c r="AN43" i="1"/>
  <c r="AM43" i="1"/>
  <c r="AW43" i="1" s="1"/>
  <c r="AK43" i="1"/>
  <c r="AK42" i="1"/>
  <c r="AM42" i="1" s="1"/>
  <c r="AK41" i="1"/>
  <c r="AN41" i="1" s="1"/>
  <c r="AK40" i="1"/>
  <c r="AN40" i="1" s="1"/>
  <c r="AM39" i="1"/>
  <c r="AK39" i="1"/>
  <c r="AN39" i="1" s="1"/>
  <c r="AK38" i="1"/>
  <c r="AN38" i="1" s="1"/>
  <c r="AK37" i="1"/>
  <c r="AN37" i="1" s="1"/>
  <c r="AK36" i="1"/>
  <c r="AN36" i="1" s="1"/>
  <c r="AK35" i="1"/>
  <c r="AN35" i="1" s="1"/>
  <c r="AK34" i="1"/>
  <c r="AN34" i="1" s="1"/>
  <c r="AK33" i="1"/>
  <c r="AN33" i="1" s="1"/>
  <c r="AK32" i="1"/>
  <c r="AN32" i="1" s="1"/>
  <c r="AK31" i="1"/>
  <c r="AN31" i="1" s="1"/>
  <c r="AK30" i="1"/>
  <c r="AN30" i="1" s="1"/>
  <c r="AW29" i="1"/>
  <c r="AN29" i="1"/>
  <c r="AM29" i="1"/>
  <c r="AV29" i="1" s="1"/>
  <c r="AK29" i="1"/>
  <c r="AN28" i="1"/>
  <c r="AK28" i="1"/>
  <c r="AM28" i="1" s="1"/>
  <c r="AK27" i="1"/>
  <c r="AN27" i="1" s="1"/>
  <c r="AK26" i="1"/>
  <c r="AM26" i="1" s="1"/>
  <c r="AK25" i="1"/>
  <c r="AM25" i="1" s="1"/>
  <c r="AW24" i="1"/>
  <c r="AY24" i="1" s="1"/>
  <c r="AV24" i="1"/>
  <c r="AN24" i="1"/>
  <c r="AK24" i="1"/>
  <c r="AW23" i="1"/>
  <c r="AY23" i="1" s="1"/>
  <c r="AN23" i="1"/>
  <c r="AM23" i="1"/>
  <c r="AV23" i="1" s="1"/>
  <c r="AK23" i="1"/>
  <c r="AK22" i="1"/>
  <c r="AM22" i="1" s="1"/>
  <c r="AN21" i="1"/>
  <c r="AK21" i="1"/>
  <c r="AM21" i="1" s="1"/>
  <c r="AN20" i="1"/>
  <c r="AK20" i="1"/>
  <c r="AM20" i="1" s="1"/>
  <c r="AK19" i="1"/>
  <c r="AN19" i="1" s="1"/>
  <c r="AN18" i="1"/>
  <c r="AM18" i="1"/>
  <c r="AW18" i="1" s="1"/>
  <c r="AK18" i="1"/>
  <c r="AK17" i="1"/>
  <c r="AN17" i="1" s="1"/>
  <c r="AK16" i="1"/>
  <c r="AN16" i="1" s="1"/>
  <c r="AN15" i="1"/>
  <c r="AK15" i="1"/>
  <c r="AM15" i="1" s="1"/>
  <c r="AM14" i="1"/>
  <c r="AK14" i="1"/>
  <c r="AN14" i="1" s="1"/>
  <c r="AV14" i="1" s="1"/>
  <c r="AK13" i="1"/>
  <c r="AN13" i="1" s="1"/>
  <c r="AN12" i="1"/>
  <c r="AM12" i="1"/>
  <c r="AW12" i="1" s="1"/>
  <c r="AK12" i="1"/>
  <c r="AN11" i="1"/>
  <c r="AM11" i="1"/>
  <c r="AV11" i="1" s="1"/>
  <c r="AK11" i="1"/>
  <c r="AK10" i="1"/>
  <c r="AN10" i="1" s="1"/>
  <c r="AK9" i="1"/>
  <c r="AN9" i="1" s="1"/>
  <c r="AK8" i="1"/>
  <c r="AN8" i="1" s="1"/>
  <c r="AK7" i="1"/>
  <c r="AN7" i="1" s="1"/>
  <c r="AW6" i="1"/>
  <c r="AN6" i="1"/>
  <c r="AM6" i="1"/>
  <c r="AV6" i="1" s="1"/>
  <c r="AK6" i="1"/>
  <c r="AN5" i="1"/>
  <c r="AK5" i="1"/>
  <c r="AM5" i="1" s="1"/>
  <c r="AK4" i="1"/>
  <c r="AN4" i="1" s="1"/>
  <c r="AK3" i="1"/>
  <c r="AN3" i="1" s="1"/>
  <c r="AW5" i="1" l="1"/>
  <c r="AV5" i="1"/>
  <c r="AW48" i="1"/>
  <c r="AV48" i="1"/>
  <c r="AW49" i="1"/>
  <c r="AV49" i="1"/>
  <c r="AY43" i="1"/>
  <c r="AW52" i="1"/>
  <c r="AV52" i="1"/>
  <c r="AV21" i="1"/>
  <c r="AW21" i="1"/>
  <c r="AY12" i="1"/>
  <c r="AX6" i="1"/>
  <c r="AW25" i="1"/>
  <c r="AV25" i="1"/>
  <c r="AW26" i="1"/>
  <c r="AW28" i="1"/>
  <c r="AV26" i="1"/>
  <c r="AV28" i="1"/>
  <c r="AX29" i="1"/>
  <c r="AW14" i="1"/>
  <c r="AW33" i="1"/>
  <c r="AV33" i="1"/>
  <c r="AV34" i="1"/>
  <c r="AW34" i="1"/>
  <c r="AW55" i="1"/>
  <c r="AV55" i="1"/>
  <c r="AV61" i="1"/>
  <c r="AW61" i="1"/>
  <c r="AY18" i="1"/>
  <c r="AX18" i="1"/>
  <c r="AW22" i="1"/>
  <c r="AV22" i="1"/>
  <c r="AW15" i="1"/>
  <c r="AV15" i="1"/>
  <c r="AW20" i="1"/>
  <c r="AV20" i="1"/>
  <c r="AW39" i="1"/>
  <c r="AN25" i="1"/>
  <c r="AM31" i="1"/>
  <c r="AM36" i="1"/>
  <c r="AM19" i="1"/>
  <c r="AX23" i="1"/>
  <c r="AM56" i="1"/>
  <c r="AN65" i="1"/>
  <c r="AW65" i="1" s="1"/>
  <c r="AM47" i="1"/>
  <c r="AM40" i="1"/>
  <c r="AV12" i="1"/>
  <c r="AX12" i="1" s="1"/>
  <c r="AN42" i="1"/>
  <c r="AV42" i="1" s="1"/>
  <c r="AM10" i="1"/>
  <c r="AM38" i="1"/>
  <c r="AY6" i="1"/>
  <c r="AM16" i="1"/>
  <c r="AN26" i="1"/>
  <c r="AM8" i="1"/>
  <c r="AY29" i="1"/>
  <c r="AM45" i="1"/>
  <c r="AM74" i="1"/>
  <c r="AM62" i="1"/>
  <c r="AW11" i="1"/>
  <c r="AM66" i="1"/>
  <c r="AV39" i="1"/>
  <c r="AM3" i="1"/>
  <c r="AM17" i="1"/>
  <c r="AX24" i="1"/>
  <c r="AV43" i="1"/>
  <c r="AX43" i="1" s="1"/>
  <c r="AM57" i="1"/>
  <c r="AM75" i="1"/>
  <c r="AM53" i="1"/>
  <c r="AM76" i="1"/>
  <c r="AM7" i="1"/>
  <c r="AM30" i="1"/>
  <c r="AM44" i="1"/>
  <c r="AM35" i="1"/>
  <c r="AM67" i="1"/>
  <c r="AM58" i="1"/>
  <c r="AM77" i="1"/>
  <c r="AM63" i="1"/>
  <c r="AM54" i="1"/>
  <c r="AM68" i="1"/>
  <c r="AM59" i="1"/>
  <c r="AM50" i="1"/>
  <c r="AM13" i="1"/>
  <c r="AN22" i="1"/>
  <c r="AM4" i="1"/>
  <c r="AM27" i="1"/>
  <c r="AM41" i="1"/>
  <c r="AM64" i="1"/>
  <c r="AM9" i="1"/>
  <c r="AM32" i="1"/>
  <c r="AM46" i="1"/>
  <c r="AV18" i="1"/>
  <c r="AM37" i="1"/>
  <c r="AM69" i="1"/>
  <c r="AM60" i="1"/>
  <c r="AM51" i="1"/>
  <c r="AY65" i="1" l="1"/>
  <c r="AY33" i="1"/>
  <c r="AX33" i="1"/>
  <c r="AW10" i="1"/>
  <c r="AV10" i="1"/>
  <c r="AV54" i="1"/>
  <c r="AW54" i="1"/>
  <c r="AY28" i="1"/>
  <c r="AX28" i="1"/>
  <c r="AW31" i="1"/>
  <c r="AV31" i="1"/>
  <c r="AW53" i="1"/>
  <c r="AV53" i="1"/>
  <c r="AW42" i="1"/>
  <c r="AX22" i="1"/>
  <c r="AY22" i="1"/>
  <c r="AW59" i="1"/>
  <c r="AV59" i="1"/>
  <c r="AW67" i="1"/>
  <c r="AV67" i="1"/>
  <c r="AV35" i="1"/>
  <c r="AW35" i="1"/>
  <c r="AW44" i="1"/>
  <c r="AV44" i="1"/>
  <c r="AW30" i="1"/>
  <c r="AV30" i="1"/>
  <c r="AY39" i="1"/>
  <c r="AX39" i="1"/>
  <c r="AV51" i="1"/>
  <c r="AW51" i="1"/>
  <c r="AY52" i="1"/>
  <c r="AX52" i="1"/>
  <c r="AW37" i="1"/>
  <c r="AV37" i="1"/>
  <c r="AW46" i="1"/>
  <c r="AV46" i="1"/>
  <c r="AW32" i="1"/>
  <c r="AV32" i="1"/>
  <c r="AV45" i="1"/>
  <c r="AW45" i="1"/>
  <c r="AW50" i="1"/>
  <c r="AV50" i="1"/>
  <c r="AW38" i="1"/>
  <c r="AV38" i="1"/>
  <c r="AW68" i="1"/>
  <c r="AV68" i="1"/>
  <c r="AV40" i="1"/>
  <c r="AW40" i="1"/>
  <c r="AY25" i="1"/>
  <c r="AX25" i="1"/>
  <c r="AY21" i="1"/>
  <c r="AX21" i="1"/>
  <c r="AW60" i="1"/>
  <c r="AV60" i="1"/>
  <c r="AY61" i="1"/>
  <c r="AX61" i="1"/>
  <c r="AW62" i="1"/>
  <c r="AV62" i="1"/>
  <c r="AY5" i="1"/>
  <c r="AX5" i="1"/>
  <c r="AW13" i="1"/>
  <c r="AV13" i="1"/>
  <c r="AY14" i="1"/>
  <c r="AX14" i="1"/>
  <c r="AW47" i="1"/>
  <c r="AV47" i="1"/>
  <c r="AV58" i="1"/>
  <c r="AW58" i="1"/>
  <c r="AW56" i="1"/>
  <c r="AV56" i="1"/>
  <c r="AY20" i="1"/>
  <c r="AX20" i="1"/>
  <c r="AW66" i="1"/>
  <c r="AV66" i="1"/>
  <c r="AY49" i="1"/>
  <c r="AX49" i="1"/>
  <c r="AW64" i="1"/>
  <c r="AV64" i="1"/>
  <c r="AY48" i="1"/>
  <c r="AX48" i="1"/>
  <c r="AV41" i="1"/>
  <c r="AW41" i="1"/>
  <c r="AV27" i="1"/>
  <c r="AW27" i="1"/>
  <c r="AY34" i="1"/>
  <c r="AX34" i="1"/>
  <c r="AV65" i="1"/>
  <c r="AX65" i="1" s="1"/>
  <c r="AW16" i="1"/>
  <c r="AV16" i="1"/>
  <c r="AW63" i="1"/>
  <c r="AV63" i="1"/>
  <c r="AX26" i="1"/>
  <c r="AY26" i="1"/>
  <c r="AW19" i="1"/>
  <c r="AV19" i="1"/>
  <c r="AV36" i="1"/>
  <c r="AW36" i="1"/>
  <c r="AV7" i="1"/>
  <c r="AW7" i="1"/>
  <c r="AV57" i="1"/>
  <c r="AW57" i="1"/>
  <c r="AX15" i="1"/>
  <c r="AY15" i="1"/>
  <c r="AV17" i="1"/>
  <c r="AW17" i="1"/>
  <c r="AV3" i="1"/>
  <c r="AW3" i="1"/>
  <c r="AY11" i="1"/>
  <c r="AX11" i="1"/>
  <c r="AW9" i="1"/>
  <c r="AV9" i="1"/>
  <c r="AY55" i="1"/>
  <c r="AX55" i="1"/>
  <c r="AV4" i="1"/>
  <c r="AW4" i="1"/>
  <c r="AV8" i="1"/>
  <c r="AW8" i="1"/>
  <c r="AY44" i="1" l="1"/>
  <c r="AX44" i="1"/>
  <c r="AY60" i="1"/>
  <c r="AX60" i="1"/>
  <c r="AY41" i="1"/>
  <c r="AX41" i="1"/>
  <c r="AY42" i="1"/>
  <c r="AX42" i="1"/>
  <c r="AY38" i="1"/>
  <c r="AX38" i="1"/>
  <c r="AY17" i="1"/>
  <c r="AX17" i="1"/>
  <c r="AY13" i="1"/>
  <c r="AX13" i="1"/>
  <c r="AY27" i="1"/>
  <c r="AX27" i="1"/>
  <c r="AY4" i="1"/>
  <c r="AX4" i="1"/>
  <c r="AY59" i="1"/>
  <c r="AX59" i="1"/>
  <c r="AX9" i="1"/>
  <c r="AY9" i="1"/>
  <c r="AY64" i="1"/>
  <c r="AX64" i="1"/>
  <c r="AY3" i="1"/>
  <c r="AW80" i="1"/>
  <c r="AY80" i="1" s="1"/>
  <c r="AX3" i="1"/>
  <c r="AW70" i="1"/>
  <c r="AY45" i="1"/>
  <c r="AX45" i="1"/>
  <c r="AY51" i="1"/>
  <c r="AX51" i="1"/>
  <c r="AY62" i="1"/>
  <c r="AX62" i="1"/>
  <c r="AY16" i="1"/>
  <c r="AX16" i="1"/>
  <c r="AY8" i="1"/>
  <c r="AX8" i="1"/>
  <c r="AY19" i="1"/>
  <c r="AX19" i="1"/>
  <c r="AY63" i="1"/>
  <c r="AX63" i="1"/>
  <c r="AX30" i="1"/>
  <c r="AY30" i="1"/>
  <c r="AY35" i="1"/>
  <c r="AX35" i="1"/>
  <c r="AX40" i="1"/>
  <c r="AY40" i="1"/>
  <c r="AY53" i="1"/>
  <c r="AX53" i="1"/>
  <c r="AY31" i="1"/>
  <c r="AX31" i="1"/>
  <c r="AY66" i="1"/>
  <c r="AX66" i="1"/>
  <c r="AY57" i="1"/>
  <c r="AX57" i="1"/>
  <c r="AY56" i="1"/>
  <c r="AX56" i="1"/>
  <c r="AY10" i="1"/>
  <c r="AX10" i="1"/>
  <c r="AX7" i="1"/>
  <c r="AY7" i="1"/>
  <c r="AY36" i="1"/>
  <c r="AX36" i="1"/>
  <c r="AX47" i="1"/>
  <c r="AY47" i="1"/>
  <c r="AY37" i="1"/>
  <c r="AX37" i="1"/>
  <c r="AY67" i="1"/>
  <c r="AX67" i="1"/>
  <c r="AY68" i="1"/>
  <c r="AX68" i="1"/>
  <c r="AV70" i="1"/>
  <c r="AY50" i="1"/>
  <c r="AX50" i="1"/>
  <c r="AY54" i="1"/>
  <c r="AX54" i="1"/>
  <c r="AX32" i="1"/>
  <c r="AY32" i="1"/>
  <c r="AY58" i="1"/>
  <c r="AX58" i="1"/>
  <c r="AX46" i="1"/>
  <c r="AY46" i="1"/>
  <c r="AX70" i="1" l="1"/>
</calcChain>
</file>

<file path=xl/sharedStrings.xml><?xml version="1.0" encoding="utf-8"?>
<sst xmlns="http://schemas.openxmlformats.org/spreadsheetml/2006/main" count="2725" uniqueCount="362">
  <si>
    <t>SL.No</t>
  </si>
  <si>
    <t>Teacher Name</t>
  </si>
  <si>
    <t>School / Branch</t>
  </si>
  <si>
    <t>STAFF ATTENDANCE REGISTER – August 2026</t>
  </si>
  <si>
    <t>KPRIYA</t>
  </si>
  <si>
    <t>APRIYA</t>
  </si>
  <si>
    <t>NANDHINI</t>
  </si>
  <si>
    <t>SANGEETHA</t>
  </si>
  <si>
    <t>SURESH</t>
  </si>
  <si>
    <t>SlNo</t>
  </si>
  <si>
    <t>FUEL</t>
  </si>
  <si>
    <t>BARATHI INT.</t>
  </si>
  <si>
    <t>ILANGOVAN</t>
  </si>
  <si>
    <t>PUNITHA</t>
  </si>
  <si>
    <t>DATE</t>
  </si>
  <si>
    <t>REGINOLD</t>
  </si>
  <si>
    <t>KARUNAGARAN TRICHY</t>
  </si>
  <si>
    <t>Manager</t>
  </si>
  <si>
    <t>DAILY TOTAL</t>
  </si>
  <si>
    <t>Expense Nature</t>
  </si>
  <si>
    <t>Amount</t>
  </si>
  <si>
    <t>Comments</t>
  </si>
  <si>
    <t>Transport</t>
  </si>
  <si>
    <t>Total Expenses</t>
  </si>
  <si>
    <t>JEEVITHA</t>
  </si>
  <si>
    <t>BHARATHI</t>
  </si>
  <si>
    <t>8T</t>
  </si>
  <si>
    <t>AMUDHAPRIYA</t>
  </si>
  <si>
    <t>SASIPRIYA</t>
  </si>
  <si>
    <t>AKV</t>
  </si>
  <si>
    <t>22T</t>
  </si>
  <si>
    <t>SUBSTUTION FOR SREEKEERTHI</t>
  </si>
  <si>
    <t>PRIYADHARSHINI</t>
  </si>
  <si>
    <t xml:space="preserve">BHARATHI </t>
  </si>
  <si>
    <t>29T</t>
  </si>
  <si>
    <t>Training Days
 ( Total)</t>
  </si>
  <si>
    <t>Training Days
  (Attended)</t>
  </si>
  <si>
    <t>Days Worked
  (in School)</t>
  </si>
  <si>
    <t>VIMALPRIYA</t>
  </si>
  <si>
    <t>Days Leave 
 (in school)</t>
  </si>
  <si>
    <t>Overall 
Working 
days</t>
  </si>
  <si>
    <t>Final Total 
Attendance</t>
  </si>
  <si>
    <t>RASHITHA BANU</t>
  </si>
  <si>
    <t>SHARADA T/P</t>
  </si>
  <si>
    <t>KARTHIKPRIYA</t>
  </si>
  <si>
    <t>Handled 
By</t>
  </si>
  <si>
    <t>School Salary
(As per 
Contract)</t>
  </si>
  <si>
    <t>EINSTEIN</t>
  </si>
  <si>
    <t>Mode</t>
  </si>
  <si>
    <t>FROM SCHOOL</t>
  </si>
  <si>
    <t>RUTHIGA</t>
  </si>
  <si>
    <t>HLS 
Salary Offered</t>
  </si>
  <si>
    <t>OBSERVATION</t>
  </si>
  <si>
    <t>GOKILA</t>
  </si>
  <si>
    <t>VEERA/SIV.</t>
  </si>
  <si>
    <t>Net 
Salary (₹)</t>
  </si>
  <si>
    <t>Net Salary 
Rounded</t>
  </si>
  <si>
    <t>Extra Amount</t>
  </si>
  <si>
    <t>BHAVANI</t>
  </si>
  <si>
    <t>V.V. T/P PRIM</t>
  </si>
  <si>
    <t>Margin/Teacher
(Sc provided
Salary - offered)</t>
  </si>
  <si>
    <t>Date paid</t>
  </si>
  <si>
    <t>GLOBAL</t>
  </si>
  <si>
    <t>HARINI</t>
  </si>
  <si>
    <t>EDMOND</t>
  </si>
  <si>
    <t>ASHFIYAMUVAFIKA</t>
  </si>
  <si>
    <t>SUBSTUTION FOR MADHUMITHA</t>
  </si>
  <si>
    <t>P</t>
  </si>
  <si>
    <t>NAVIYASRI</t>
  </si>
  <si>
    <t>S.VIV. KODUVAI</t>
  </si>
  <si>
    <t>L</t>
  </si>
  <si>
    <t>INDRA</t>
  </si>
  <si>
    <t>KONGU A/PALAY.</t>
  </si>
  <si>
    <t>T</t>
  </si>
  <si>
    <t>H</t>
  </si>
  <si>
    <t>VIDYA</t>
  </si>
  <si>
    <t>VAISHNAVI</t>
  </si>
  <si>
    <t>SRIKUMARAN</t>
  </si>
  <si>
    <t>SUVETHA</t>
  </si>
  <si>
    <t>PONNU</t>
  </si>
  <si>
    <t>FOR PAYMENT</t>
  </si>
  <si>
    <t>RACHANA</t>
  </si>
  <si>
    <t>FOR GIVE MOU</t>
  </si>
  <si>
    <t>DHANAVARDINI</t>
  </si>
  <si>
    <t>VEERASIVAJI</t>
  </si>
  <si>
    <t>LEENA</t>
  </si>
  <si>
    <t>LIONS.</t>
  </si>
  <si>
    <t>KOKILA</t>
  </si>
  <si>
    <t>KAVIYA</t>
  </si>
  <si>
    <t>GLOBAL CBSC</t>
  </si>
  <si>
    <t>MADHUMITHA</t>
  </si>
  <si>
    <t>GLOBAL MATR</t>
  </si>
  <si>
    <t>KOVAI VID.</t>
  </si>
  <si>
    <t>PRISCILLA</t>
  </si>
  <si>
    <t>KONGU VKL</t>
  </si>
  <si>
    <t>ASSLIEN</t>
  </si>
  <si>
    <t>VIVEHA INT.</t>
  </si>
  <si>
    <t>vidyavikas</t>
  </si>
  <si>
    <t>VIVEKANANDA.</t>
  </si>
  <si>
    <t>NAVAA</t>
  </si>
  <si>
    <t>GAYATHRI</t>
  </si>
  <si>
    <t>PAVITHRA</t>
  </si>
  <si>
    <t>SVN</t>
  </si>
  <si>
    <t>JAYADURGA</t>
  </si>
  <si>
    <t>ALAMELUMANGAI</t>
  </si>
  <si>
    <t>SARASWATHI</t>
  </si>
  <si>
    <t>LOGASREE</t>
  </si>
  <si>
    <t>JANANI</t>
  </si>
  <si>
    <t>LOGESWARI</t>
  </si>
  <si>
    <t>DHANASEELAN</t>
  </si>
  <si>
    <t>VANI</t>
  </si>
  <si>
    <t>NANDHITHA</t>
  </si>
  <si>
    <t>ARSHIYA</t>
  </si>
  <si>
    <t>ASHRAM</t>
  </si>
  <si>
    <t>3600 HUNDAI</t>
  </si>
  <si>
    <t>SARANYA</t>
  </si>
  <si>
    <t>KEERTHIKA</t>
  </si>
  <si>
    <t>SRV</t>
  </si>
  <si>
    <t>KAVIYASRI</t>
  </si>
  <si>
    <t>JKKN</t>
  </si>
  <si>
    <t>SINDHU</t>
  </si>
  <si>
    <t>NAZEEMA</t>
  </si>
  <si>
    <t>VINOTHINI</t>
  </si>
  <si>
    <t>V. VIKAS TCG</t>
  </si>
  <si>
    <t>AMRIN</t>
  </si>
  <si>
    <t>RAGAVI</t>
  </si>
  <si>
    <t>DEEPAN BABU</t>
  </si>
  <si>
    <t>NIRMAL PRAKASH</t>
  </si>
  <si>
    <t>AKV-MATRIC</t>
  </si>
  <si>
    <t>SREE KEERTHI</t>
  </si>
  <si>
    <t>ASHFIYA MUVAFIKA</t>
  </si>
  <si>
    <t>HARSHANA</t>
  </si>
  <si>
    <t>BANK 01/09/2026</t>
  </si>
  <si>
    <t>BRINDHA</t>
  </si>
  <si>
    <t>AKV. CBSC</t>
  </si>
  <si>
    <t>DHARSHINI</t>
  </si>
  <si>
    <t>hundai patrol</t>
  </si>
  <si>
    <t>SVB</t>
  </si>
  <si>
    <t>CASH</t>
  </si>
  <si>
    <t>SOUTH INDIAN</t>
  </si>
  <si>
    <t>KANAGAVALLI</t>
  </si>
  <si>
    <t>3800HUNDAI</t>
  </si>
  <si>
    <t>amudhapriya</t>
  </si>
  <si>
    <t>NITHYA</t>
  </si>
  <si>
    <t>S</t>
  </si>
  <si>
    <t>KOWSHIKA</t>
  </si>
  <si>
    <t>SHARMILA</t>
  </si>
  <si>
    <t>DEVIPRIYA</t>
  </si>
  <si>
    <t>BANK 02/09/2026</t>
  </si>
  <si>
    <t>01/09/2026 Gpay PNB</t>
  </si>
  <si>
    <t>suresh</t>
  </si>
  <si>
    <t>800 WAGON R</t>
  </si>
  <si>
    <t>BHARATHI S.C.</t>
  </si>
  <si>
    <t>1400 WAGON R</t>
  </si>
  <si>
    <t>PRIYADHARSHINI S.C.</t>
  </si>
  <si>
    <t>YASHODA</t>
  </si>
  <si>
    <t>942 SALEM</t>
  </si>
  <si>
    <t>HUNDAI - PATROL</t>
  </si>
  <si>
    <t>NANDHINI TMB</t>
  </si>
  <si>
    <t>BANK 07/09/2026</t>
  </si>
  <si>
    <t>1300+</t>
  </si>
  <si>
    <t>2500 SINDHU WED</t>
  </si>
  <si>
    <t>BANK 06/09/2026</t>
  </si>
  <si>
    <t>CASH 09/09/2026</t>
  </si>
  <si>
    <t>CASH  03/09/2026</t>
  </si>
  <si>
    <t>03/09/2-26</t>
  </si>
  <si>
    <t xml:space="preserve">NANDHINI </t>
  </si>
  <si>
    <t>CASH 08/09/2026</t>
  </si>
  <si>
    <t>BANK</t>
  </si>
  <si>
    <t>SURESH GPAY</t>
  </si>
  <si>
    <t>GOWRIE</t>
  </si>
  <si>
    <t>L/2</t>
  </si>
  <si>
    <t>TOTAL</t>
  </si>
  <si>
    <t>MANISHA</t>
  </si>
  <si>
    <t>MONTH OFJUNE/JULY 2026 EXPENSES</t>
  </si>
  <si>
    <t>ER OFFICE RENT 24000</t>
  </si>
  <si>
    <t>BADGE                  79200</t>
  </si>
  <si>
    <t>PUNITHA              75000</t>
  </si>
  <si>
    <t>AUDITOR KNGM   2000</t>
  </si>
  <si>
    <t xml:space="preserve">I10 PATROL           </t>
  </si>
  <si>
    <t>DRAMA KIT            5800</t>
  </si>
  <si>
    <t xml:space="preserve">ID CARD                3200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</si>
  <si>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BANK 11/09/2026</t>
  </si>
  <si>
    <t>KOKILA S</t>
  </si>
  <si>
    <t>VEV. KADAIYUR</t>
  </si>
  <si>
    <t>MANGAI</t>
  </si>
  <si>
    <t>GLOBAL CBSE</t>
  </si>
  <si>
    <t>BANK  05/09/2026</t>
  </si>
  <si>
    <t>MERLIN</t>
  </si>
  <si>
    <t>MERLIN MAGIBA</t>
  </si>
  <si>
    <t>SATHYAPRIYA</t>
  </si>
  <si>
    <t>DHANAVARDHINI</t>
  </si>
  <si>
    <t>4500+9000 07/09/2026</t>
  </si>
  <si>
    <t>Column 1</t>
  </si>
  <si>
    <t>SCHOOLS - JUNE SALARY</t>
  </si>
  <si>
    <t>RECEIVER</t>
  </si>
  <si>
    <t>MODE</t>
  </si>
  <si>
    <t>AMOUNT</t>
  </si>
  <si>
    <t>NO.OF FACULTIES</t>
  </si>
  <si>
    <t>BALANCE</t>
  </si>
  <si>
    <t>12/09/2026 CASH@ERODE OFFICE</t>
  </si>
  <si>
    <t xml:space="preserve">SARADHA </t>
  </si>
  <si>
    <t>RASHITHA</t>
  </si>
  <si>
    <t>VEERA SIVAJI</t>
  </si>
  <si>
    <t>NANDINI</t>
  </si>
  <si>
    <t>VIDYA VIKAS TIRUPUR</t>
  </si>
  <si>
    <t>12/09/2026@ERODE OFFICE</t>
  </si>
  <si>
    <t>SUGANYA</t>
  </si>
  <si>
    <t>EDMUND TIRUPUR</t>
  </si>
  <si>
    <t>JAI SHRIRAM</t>
  </si>
  <si>
    <t xml:space="preserve"> </t>
  </si>
  <si>
    <t>SWAMI VIV.KODUVAI</t>
  </si>
  <si>
    <t>13/07/</t>
  </si>
  <si>
    <t>KONGU  ANGERIPALAYAM</t>
  </si>
  <si>
    <t>DHANAVARTHINI 99650+SURESH 6200=15850</t>
  </si>
  <si>
    <t>MERIT</t>
  </si>
  <si>
    <t>SRI KUMARAN</t>
  </si>
  <si>
    <t>NO IDEA</t>
  </si>
  <si>
    <t>PONNU DHARAPURAM</t>
  </si>
  <si>
    <t>15/07/</t>
  </si>
  <si>
    <t>SHALINI</t>
  </si>
  <si>
    <t xml:space="preserve">VETRIVINAYAGA </t>
  </si>
  <si>
    <t>LIONS DHARAPURAM</t>
  </si>
  <si>
    <t>10/07/</t>
  </si>
  <si>
    <t>VIVEKANANDHA ACADEMY</t>
  </si>
  <si>
    <t>VETRIVINAYAGA</t>
  </si>
  <si>
    <t>05/07/</t>
  </si>
  <si>
    <t>PUNIDHA</t>
  </si>
  <si>
    <t>09/09/2026 7150/-</t>
  </si>
  <si>
    <t>JUNE EXPENCES</t>
  </si>
  <si>
    <t>WISDOM SATHIYAMANGALAM</t>
  </si>
  <si>
    <t>GLOBAL KANGEYAM</t>
  </si>
  <si>
    <t>FOOD/MAR</t>
  </si>
  <si>
    <t>COMPANY</t>
  </si>
  <si>
    <t>ILANGON</t>
  </si>
  <si>
    <t>TN20DF2403</t>
  </si>
  <si>
    <t>KOVAI VIDYASHRAM</t>
  </si>
  <si>
    <t>18/07/</t>
  </si>
  <si>
    <t>SATHIYAMANGALAM</t>
  </si>
  <si>
    <t>kARTHIKPRIYA</t>
  </si>
  <si>
    <t>GPAY</t>
  </si>
  <si>
    <t>KONGU VELLAKOIL</t>
  </si>
  <si>
    <t>17/07/</t>
  </si>
  <si>
    <t>04/09/2026/</t>
  </si>
  <si>
    <t>KARTHIKPRIYA/ 7850</t>
  </si>
  <si>
    <t>PAVITHRA P</t>
  </si>
  <si>
    <t>VIVEHA INT</t>
  </si>
  <si>
    <t>VIV.MUTHUR</t>
  </si>
  <si>
    <t>NAVAA INT.</t>
  </si>
  <si>
    <t>SATHIYAPRIYA</t>
  </si>
  <si>
    <t>BANK 03/09/2026</t>
  </si>
  <si>
    <t>03/-9/2026</t>
  </si>
  <si>
    <t>SVN 1</t>
  </si>
  <si>
    <t>SVN 2</t>
  </si>
  <si>
    <t>EINSTIEN</t>
  </si>
  <si>
    <t>09/07/</t>
  </si>
  <si>
    <t>CASH 03/09/2026</t>
  </si>
  <si>
    <t xml:space="preserve">VANI VEPPADAI </t>
  </si>
  <si>
    <t>11/07/</t>
  </si>
  <si>
    <t>PAVITHRA S.</t>
  </si>
  <si>
    <t>VIDYA VIKAS TCG MATRIC</t>
  </si>
  <si>
    <t>EINSTEIN /FORT</t>
  </si>
  <si>
    <t>VIDYA VIKAS CBSE</t>
  </si>
  <si>
    <t xml:space="preserve">EINSTEIN </t>
  </si>
  <si>
    <t>BANK  11/09/2026</t>
  </si>
  <si>
    <t>KONGU SALEM</t>
  </si>
  <si>
    <t>V.V.PAPPIREDDIPATTI</t>
  </si>
  <si>
    <t>D.BABU</t>
  </si>
  <si>
    <t>AKV CBSE</t>
  </si>
  <si>
    <t>06/07/</t>
  </si>
  <si>
    <t xml:space="preserve"> VANI </t>
  </si>
  <si>
    <t>AKV MATRIC</t>
  </si>
  <si>
    <t>suresh cash</t>
  </si>
  <si>
    <t>NAMAGIRI</t>
  </si>
  <si>
    <t>SWAMI VIV..ELAMPILLAI</t>
  </si>
  <si>
    <t>NALANDHA</t>
  </si>
  <si>
    <t>12/09/2026@ERD OFFICE</t>
  </si>
  <si>
    <t>KONGU ATHANI</t>
  </si>
  <si>
    <t>NANDITA</t>
  </si>
  <si>
    <t>STAFF SALARY</t>
  </si>
  <si>
    <t xml:space="preserve">BALANCE </t>
  </si>
  <si>
    <t>CASH 06/09/2026</t>
  </si>
  <si>
    <t>TEACHER TRAINING 2026- APRIL,MAY</t>
  </si>
  <si>
    <t>PUNITHA CREDIT ACCOUNT DETAILS 2026 APRIL,MAY</t>
  </si>
  <si>
    <t>GUNASEELAN PUNITHA</t>
  </si>
  <si>
    <t>SANGEETHA MAY - SALARY</t>
  </si>
  <si>
    <t>SANGEETHA -MAY- EXPENCES</t>
  </si>
  <si>
    <t>SURESH MAY SALARY BALANCE</t>
  </si>
  <si>
    <t>SANGEETHA -JUNE EXPENCES</t>
  </si>
  <si>
    <t>CAR PATROL -JULY '26</t>
  </si>
  <si>
    <t>SURESH JUNE SAL ADV</t>
  </si>
  <si>
    <t>TOTAL;-</t>
  </si>
  <si>
    <t>AMUDHAPRIYA (SW.VIV.ELAMPILLAIAMT</t>
  </si>
  <si>
    <t>PILLAI AMT</t>
  </si>
  <si>
    <t xml:space="preserve">BALANCE;- </t>
  </si>
  <si>
    <t>SRV 21K</t>
  </si>
  <si>
    <t xml:space="preserve">SRV </t>
  </si>
  <si>
    <t>CASH 12/09/2026</t>
  </si>
  <si>
    <t>LAVANYA</t>
  </si>
  <si>
    <t xml:space="preserve">ST.ZAVIER  </t>
  </si>
  <si>
    <t>ST.ZAVIER</t>
  </si>
  <si>
    <t>CHEQUE 01/09/26</t>
  </si>
  <si>
    <t>CASH 16/09/2026</t>
  </si>
  <si>
    <t>11/09/2026@ERD OFFICE</t>
  </si>
  <si>
    <t>KONGU-MATRIC SALEM</t>
  </si>
  <si>
    <t xml:space="preserve">BANK </t>
  </si>
  <si>
    <t>NANDINI 7550 KPRIYA5950</t>
  </si>
  <si>
    <t>NANDINI&amp;KPRIYA</t>
  </si>
  <si>
    <t>NIRMAL 1000+SATHYA 11200</t>
  </si>
  <si>
    <t>12,14th SATHYAPRIYA</t>
  </si>
  <si>
    <t xml:space="preserve"> V.V. PAPPIREDDIPATTI</t>
  </si>
  <si>
    <t>BALANCE 1000</t>
  </si>
  <si>
    <t>SCHOOL</t>
  </si>
  <si>
    <t>V.V. PAPPIREDDIPATTI</t>
  </si>
  <si>
    <t>NIRMAL PRAKA</t>
  </si>
  <si>
    <t>BALANCE 2000</t>
  </si>
  <si>
    <t>REXINI</t>
  </si>
  <si>
    <t>BANK 01/08/2026</t>
  </si>
  <si>
    <t>12950+900 3RD &amp;5THSEP</t>
  </si>
  <si>
    <t>BANK01/08/2026</t>
  </si>
  <si>
    <t>VANI AMT KARTHIKPRIYA</t>
  </si>
  <si>
    <t>uresh cash + deebanbabu 2000</t>
  </si>
  <si>
    <t>dhanavardini 7800(suresh cash tf gpay) kpriya 3000</t>
  </si>
  <si>
    <t>M.SUBARANJANI</t>
  </si>
  <si>
    <t>10K 03/09/,3200/- 05/SEP</t>
  </si>
  <si>
    <t>GOBIKA</t>
  </si>
  <si>
    <t>BANK 04/08/2026</t>
  </si>
  <si>
    <t xml:space="preserve">cash from ysha acc </t>
  </si>
  <si>
    <t>HEMA</t>
  </si>
  <si>
    <t>T/2</t>
  </si>
  <si>
    <t>9000 V.VIKAS TCG+ NAVAA2700</t>
  </si>
  <si>
    <t xml:space="preserve">JEEVITHA </t>
  </si>
  <si>
    <t>CASH 04/08/2026</t>
  </si>
  <si>
    <t>V.VIKAS TCG CAH AMUDHAPRIYA</t>
  </si>
  <si>
    <t>SWAMY VIVEKANANDHAR</t>
  </si>
  <si>
    <t>BANK 06/08/2026</t>
  </si>
  <si>
    <t>15700/- AMUDHAPRIYA</t>
  </si>
  <si>
    <t>BANK02/09/2026</t>
  </si>
  <si>
    <t>BANK03/09/2026</t>
  </si>
  <si>
    <t>11,14th/09/2026</t>
  </si>
  <si>
    <t>VANI AMT KARTHIKPRIYA 12950+550</t>
  </si>
  <si>
    <t xml:space="preserve">GAYATHRI  </t>
  </si>
  <si>
    <t>NALANDHA SALEM</t>
  </si>
  <si>
    <t>IT SUPPORT</t>
  </si>
  <si>
    <t>IT SOFTWARE</t>
  </si>
  <si>
    <t>KOVAI VID PAYMENT</t>
  </si>
  <si>
    <t>CFM</t>
  </si>
  <si>
    <t>10,12/09/2026</t>
  </si>
  <si>
    <t>SARASWATHI BAL</t>
  </si>
  <si>
    <t>T/A 1213</t>
  </si>
  <si>
    <t>SVB,JKKN,SURESH</t>
  </si>
  <si>
    <t>01/09/2026 GPAY</t>
  </si>
  <si>
    <t>JKKN 4000+SVB JULY 17742+SURESH 258</t>
  </si>
  <si>
    <t>MANAGER MARKETING</t>
  </si>
  <si>
    <t>KONGU,VIVEHA PAYMENT</t>
  </si>
  <si>
    <t>A.O.</t>
  </si>
  <si>
    <t>PONNU BALANCE</t>
  </si>
  <si>
    <t>A.D.</t>
  </si>
  <si>
    <t>BHARATHI CASH</t>
  </si>
  <si>
    <t>SUBSTITUTION</t>
  </si>
  <si>
    <t>XX</t>
  </si>
  <si>
    <t>Aug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</si>
</sst>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dd/mm/yyyy"/>
    <numFmt numFmtId="166" formatCode="dd/mm"/>
  </numFmts>
  <fonts count="15">
    <font>
      <sz val="11"/>
      <color rgb="FF000000"/>
      <name val="Aptos Narrow"/>
      <scheme val="minor"/>
    </font>
    <font>
      <b/>
      <sz val="10"/>
      <color rgb="FFFFFFFF"/>
      <name val="Arial"/>
    </font>
    <font>
      <sz val="11"/>
      <color theme="1"/>
      <name val="Arial"/>
    </font>
    <font>
      <b/>
      <sz val="13"/>
      <color rgb="FFFFFFFF"/>
      <name val="Arial"/>
    </font>
    <font>
      <sz val="11"/>
      <name val="Aptos Narrow"/>
    </font>
    <font>
      <sz val="10"/>
      <color theme="1"/>
      <name val="Arial"/>
    </font>
    <font>
      <sz val="11"/>
      <color rgb="FF000000"/>
      <name val="Aptos Narrow"/>
    </font>
    <font>
      <i/>
      <sz val="11"/>
      <color theme="1"/>
      <name val="Arial"/>
    </font>
    <font>
      <b/>
      <sz val="11"/>
      <color rgb="FF356854"/>
      <name val="Arial"/>
    </font>
    <font>
      <b/>
      <u/>
      <sz val="11"/>
      <color rgb="FFFFFFFF"/>
      <name val="Arial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rial"/>
    </font>
    <font>
      <sz val="10"/>
      <color rgb="FF000000"/>
      <name val="Arial"/>
    </font>
    <font>
      <sz val="11"/>
      <color rgb="FF35685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FC000"/>
        <bgColor rgb="FFFFC000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DC3E6"/>
      </right>
      <top/>
      <bottom style="thin">
        <color rgb="FF9DC3E6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000000"/>
      </right>
      <top/>
      <bottom style="thin">
        <color rgb="FF9DC3E6"/>
      </bottom>
      <diagonal/>
    </border>
  </borders>
  <cellStyleXfs count="1">
    <xf numFmtId="0" fontId="0" fillId="0" borderId="0"/>
  </cellStyleXfs>
  <cellXfs count="85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2" borderId="10" xfId="0" applyFont="1" applyFill="1" applyBorder="1"/>
    <xf numFmtId="0" fontId="1" fillId="6" borderId="11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left" vertical="top"/>
    </xf>
    <xf numFmtId="0" fontId="12" fillId="3" borderId="0" xfId="0" applyFont="1" applyFill="1" applyAlignment="1">
      <alignment horizontal="center" vertical="top"/>
    </xf>
    <xf numFmtId="0" fontId="12" fillId="2" borderId="13" xfId="0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65" fontId="11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2" fontId="5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165" fontId="5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 vertical="top" wrapText="1"/>
    </xf>
    <xf numFmtId="2" fontId="5" fillId="10" borderId="0" xfId="0" applyNumberFormat="1" applyFont="1" applyFill="1" applyAlignment="1">
      <alignment horizontal="center" vertical="top" wrapText="1"/>
    </xf>
    <xf numFmtId="165" fontId="5" fillId="10" borderId="0" xfId="0" applyNumberFormat="1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/>
    </xf>
    <xf numFmtId="2" fontId="6" fillId="3" borderId="0" xfId="0" applyNumberFormat="1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23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8D8D8"/>
          <bgColor rgb="FFD8D8D8"/>
        </patternFill>
      </fill>
    </dxf>
  </dxfs>
  <tableStyles count="7">
    <tableStyle name="EXPENSEjul;FACULTY-style" pivot="0" count="2" xr9:uid="{00000000-0011-0000-FFFF-FFFF00000000}">
      <tableStyleElement type="firstRowStripe" dxfId="22"/>
      <tableStyleElement type="secondRowStripe" dxfId="21"/>
    </tableStyle>
    <tableStyle name="ATTENDANCE Aug-2026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EXPENSES Aug 2026-style" pivot="0" count="4" xr9:uid="{00000000-0011-0000-FFFF-FFFF02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ATTENDANCE Aug-2026-style 2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ATTENDANCE Aug-2026-style 3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Manager-Details of expensesJul-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CHOOL PAYMENT  JUNE 2026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2:AN91" headerRowCount="0">
  <tableColumns count="4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</tableColumns>
  <tableStyleInfo name="ATTENDANCE Aug-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3" displayName="Table_3" ref="AP2:AQ78">
  <tableColumns count="2">
    <tableColumn id="1" xr3:uid="{00000000-0010-0000-0100-000001000000}" name="School / Branch"/>
    <tableColumn id="2" xr3:uid="{00000000-0010-0000-0100-000002000000}" name="Handled _x000a_By"/>
  </tableColumns>
  <tableStyleInfo name="ATTENDANCE Aug-20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4" displayName="Table_4" ref="AU2:BA79">
  <tableColumns count="7">
    <tableColumn id="1" xr3:uid="{00000000-0010-0000-0200-000001000000}" name="HLS _x000a_Salary Offered"/>
    <tableColumn id="2" xr3:uid="{00000000-0010-0000-0200-000002000000}" name="Net _x000a_Salary (₹)"/>
    <tableColumn id="3" xr3:uid="{00000000-0010-0000-0200-000003000000}" name="Net Salary _x000a_Rounded"/>
    <tableColumn id="4" xr3:uid="{00000000-0010-0000-0200-000004000000}" name="Extra Amount"/>
    <tableColumn id="5" xr3:uid="{00000000-0010-0000-0200-000005000000}" name="Margin/Teacher_x000a_(Sc provided_x000a_Salary - offered)"/>
    <tableColumn id="6" xr3:uid="{00000000-0010-0000-0200-000006000000}" name="Date paid"/>
    <tableColumn id="7" xr3:uid="{00000000-0010-0000-0200-000007000000}" name="Manager"/>
  </tableColumns>
  <tableStyleInfo name="ATTENDANCE Aug-2026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July_Expense_Tracking" displayName="July_Expense_Tracking" ref="A1:L33">
  <tableColumns count="12">
    <tableColumn id="1" xr3:uid="{00000000-0010-0000-0400-000001000000}" name="Aug EXPENSES"/>
    <tableColumn id="2" xr3:uid="{00000000-0010-0000-0400-000002000000}" name="KPRIYA"/>
    <tableColumn id="3" xr3:uid="{00000000-0010-0000-0400-000003000000}" name="APRIYA"/>
    <tableColumn id="4" xr3:uid="{00000000-0010-0000-0400-000004000000}" name="NANDHINI"/>
    <tableColumn id="5" xr3:uid="{00000000-0010-0000-0400-000005000000}" name="SANGEETHA"/>
    <tableColumn id="6" xr3:uid="{00000000-0010-0000-0400-000006000000}" name="SURESH"/>
    <tableColumn id="7" xr3:uid="{00000000-0010-0000-0400-000007000000}" name="FUEL"/>
    <tableColumn id="8" xr3:uid="{00000000-0010-0000-0400-000008000000}" name="ILANGOVAN"/>
    <tableColumn id="9" xr3:uid="{00000000-0010-0000-0400-000009000000}" name="PUNITHA"/>
    <tableColumn id="10" xr3:uid="{00000000-0010-0000-0400-00000A000000}" name="REGINOLD"/>
    <tableColumn id="11" xr3:uid="{00000000-0010-0000-0400-00000B000000}" name="KARUNAGARAN TRICHY"/>
    <tableColumn id="12" xr3:uid="{00000000-0010-0000-0400-00000C000000}" name="DAILY TOTAL"/>
  </tableColumns>
  <tableStyleInfo name="EXPENSES Aug 2026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_2" displayName="Table1_2" ref="A1:F43">
  <tableColumns count="6">
    <tableColumn id="1" xr3:uid="{00000000-0010-0000-0500-000001000000}" name="SlNo"/>
    <tableColumn id="2" xr3:uid="{00000000-0010-0000-0500-000002000000}" name="DATE"/>
    <tableColumn id="3" xr3:uid="{00000000-0010-0000-0500-000003000000}" name="Manager"/>
    <tableColumn id="4" xr3:uid="{00000000-0010-0000-0500-000004000000}" name="Expense Nature"/>
    <tableColumn id="5" xr3:uid="{00000000-0010-0000-0500-000005000000}" name="Amount"/>
    <tableColumn id="6" xr3:uid="{00000000-0010-0000-0500-000006000000}" name="Comments"/>
  </tableColumns>
  <tableStyleInfo name="Manager-Details of expensesJul-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I40">
  <tableColumns count="9">
    <tableColumn id="1" xr3:uid="{00000000-0010-0000-0600-000001000000}" name="Column 1"/>
    <tableColumn id="2" xr3:uid="{00000000-0010-0000-0600-000002000000}" name="SCHOOLS - JUNE SALARY"/>
    <tableColumn id="3" xr3:uid="{00000000-0010-0000-0600-000003000000}" name="DATE"/>
    <tableColumn id="4" xr3:uid="{00000000-0010-0000-0600-000004000000}" name="RECEIVER"/>
    <tableColumn id="5" xr3:uid="{00000000-0010-0000-0600-000005000000}" name="MODE"/>
    <tableColumn id="6" xr3:uid="{00000000-0010-0000-0600-000006000000}" name="AMOUNT"/>
    <tableColumn id="7" xr3:uid="{00000000-0010-0000-0600-000007000000}" name="NO.OF FACULTIES"/>
    <tableColumn id="8" xr3:uid="{00000000-0010-0000-0600-000008000000}" name="BALANCE"/>
    <tableColumn id="9" xr3:uid="{00000000-0010-0000-0600-000009000000}" name="Comments"/>
  </tableColumns>
  <tableStyleInfo name="SCHOOL PAYMENT  JUNE 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://sl.no/" TargetMode="Externa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1"/>
  <sheetViews>
    <sheetView workbookViewId="0">
      <selection sqref="A1:AN1"/>
    </sheetView>
  </sheetViews>
  <sheetFormatPr defaultColWidth="12.6640625" defaultRowHeight="15" customHeight="1"/>
  <cols>
    <col min="1" max="1" width="8" customWidth="1"/>
    <col min="2" max="2" width="19.21875" customWidth="1"/>
    <col min="3" max="3" width="19" customWidth="1"/>
    <col min="4" max="4" width="7.77734375" customWidth="1"/>
    <col min="5" max="12" width="4" customWidth="1"/>
    <col min="13" max="33" width="4.88671875" customWidth="1"/>
    <col min="34" max="34" width="7.77734375" customWidth="1"/>
    <col min="35" max="35" width="11.21875" customWidth="1"/>
    <col min="36" max="36" width="14.21875" customWidth="1"/>
    <col min="37" max="40" width="12.77734375" customWidth="1"/>
    <col min="41" max="42" width="22.109375" customWidth="1"/>
    <col min="43" max="46" width="15.21875" customWidth="1"/>
    <col min="47" max="53" width="22.109375" customWidth="1"/>
  </cols>
  <sheetData>
    <row r="1" spans="1:53" ht="34.5" customHeight="1">
      <c r="A1" s="82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4"/>
      <c r="AO1" s="3"/>
      <c r="AP1" s="5"/>
      <c r="AQ1" s="5"/>
      <c r="AR1" s="5"/>
      <c r="AS1" s="5"/>
      <c r="AT1" s="7"/>
      <c r="AU1" s="5"/>
      <c r="AV1" s="5"/>
      <c r="AW1" s="9"/>
      <c r="AX1" s="5"/>
      <c r="AY1" s="10"/>
      <c r="AZ1" s="5"/>
      <c r="BA1" s="5"/>
    </row>
    <row r="2" spans="1:53" ht="39.75" customHeight="1">
      <c r="A2" s="15" t="s">
        <v>0</v>
      </c>
      <c r="B2" s="18" t="s">
        <v>1</v>
      </c>
      <c r="C2" s="18" t="s">
        <v>2</v>
      </c>
      <c r="D2" s="19">
        <v>1</v>
      </c>
      <c r="E2" s="20">
        <v>2</v>
      </c>
      <c r="F2" s="22">
        <v>3</v>
      </c>
      <c r="G2" s="22">
        <v>4</v>
      </c>
      <c r="H2" s="22">
        <v>5</v>
      </c>
      <c r="I2" s="22">
        <v>6</v>
      </c>
      <c r="J2" s="22">
        <v>7</v>
      </c>
      <c r="K2" s="19" t="s">
        <v>26</v>
      </c>
      <c r="L2" s="23">
        <v>9</v>
      </c>
      <c r="M2" s="22">
        <v>10</v>
      </c>
      <c r="N2" s="22">
        <v>11</v>
      </c>
      <c r="O2" s="22">
        <v>12</v>
      </c>
      <c r="P2" s="22">
        <v>13</v>
      </c>
      <c r="Q2" s="22">
        <v>14</v>
      </c>
      <c r="R2" s="19">
        <v>15</v>
      </c>
      <c r="S2" s="23">
        <v>16</v>
      </c>
      <c r="T2" s="22">
        <v>17</v>
      </c>
      <c r="U2" s="22">
        <v>18</v>
      </c>
      <c r="V2" s="22">
        <v>19</v>
      </c>
      <c r="W2" s="22">
        <v>20</v>
      </c>
      <c r="X2" s="22">
        <v>21</v>
      </c>
      <c r="Y2" s="19" t="s">
        <v>30</v>
      </c>
      <c r="Z2" s="23">
        <v>23</v>
      </c>
      <c r="AA2" s="22">
        <v>24</v>
      </c>
      <c r="AB2" s="22">
        <v>25</v>
      </c>
      <c r="AC2" s="22">
        <v>26</v>
      </c>
      <c r="AD2" s="22">
        <v>27</v>
      </c>
      <c r="AE2" s="22">
        <v>28</v>
      </c>
      <c r="AF2" s="19" t="s">
        <v>34</v>
      </c>
      <c r="AG2" s="23">
        <v>30</v>
      </c>
      <c r="AH2" s="22">
        <v>31</v>
      </c>
      <c r="AI2" s="22" t="s">
        <v>35</v>
      </c>
      <c r="AJ2" s="22" t="s">
        <v>36</v>
      </c>
      <c r="AK2" s="24" t="s">
        <v>37</v>
      </c>
      <c r="AL2" s="22" t="s">
        <v>39</v>
      </c>
      <c r="AM2" s="22" t="s">
        <v>40</v>
      </c>
      <c r="AN2" s="25" t="s">
        <v>41</v>
      </c>
      <c r="AO2" s="26" t="s">
        <v>1</v>
      </c>
      <c r="AP2" s="18" t="s">
        <v>2</v>
      </c>
      <c r="AQ2" s="18" t="s">
        <v>45</v>
      </c>
      <c r="AR2" s="27" t="s">
        <v>46</v>
      </c>
      <c r="AS2" s="28" t="s">
        <v>48</v>
      </c>
      <c r="AT2" s="29" t="s">
        <v>49</v>
      </c>
      <c r="AU2" s="30" t="s">
        <v>51</v>
      </c>
      <c r="AV2" s="31" t="s">
        <v>55</v>
      </c>
      <c r="AW2" s="32" t="s">
        <v>56</v>
      </c>
      <c r="AX2" s="33" t="s">
        <v>57</v>
      </c>
      <c r="AY2" s="34" t="s">
        <v>60</v>
      </c>
      <c r="AZ2" s="35" t="s">
        <v>61</v>
      </c>
      <c r="BA2" s="35" t="s">
        <v>17</v>
      </c>
    </row>
    <row r="3" spans="1:53" ht="14.25" customHeight="1">
      <c r="A3" s="36">
        <v>1</v>
      </c>
      <c r="B3" s="37" t="s">
        <v>65</v>
      </c>
      <c r="C3" s="37" t="s">
        <v>11</v>
      </c>
      <c r="D3" s="19" t="s">
        <v>67</v>
      </c>
      <c r="E3" s="23"/>
      <c r="F3" s="36" t="s">
        <v>67</v>
      </c>
      <c r="G3" s="36" t="s">
        <v>67</v>
      </c>
      <c r="H3" s="36" t="s">
        <v>67</v>
      </c>
      <c r="I3" s="36" t="s">
        <v>67</v>
      </c>
      <c r="J3" s="36" t="s">
        <v>67</v>
      </c>
      <c r="K3" s="19" t="s">
        <v>70</v>
      </c>
      <c r="L3" s="23"/>
      <c r="M3" s="36" t="s">
        <v>67</v>
      </c>
      <c r="N3" s="36" t="s">
        <v>67</v>
      </c>
      <c r="O3" s="36" t="s">
        <v>67</v>
      </c>
      <c r="P3" s="36" t="s">
        <v>67</v>
      </c>
      <c r="Q3" s="36" t="s">
        <v>67</v>
      </c>
      <c r="R3" s="19" t="s">
        <v>67</v>
      </c>
      <c r="S3" s="23"/>
      <c r="T3" s="36" t="s">
        <v>67</v>
      </c>
      <c r="U3" s="36" t="s">
        <v>67</v>
      </c>
      <c r="V3" s="36" t="s">
        <v>70</v>
      </c>
      <c r="W3" s="36" t="s">
        <v>70</v>
      </c>
      <c r="X3" s="36" t="s">
        <v>70</v>
      </c>
      <c r="Y3" s="19" t="s">
        <v>73</v>
      </c>
      <c r="Z3" s="23"/>
      <c r="AA3" s="36" t="s">
        <v>67</v>
      </c>
      <c r="AB3" s="36" t="s">
        <v>67</v>
      </c>
      <c r="AC3" s="36" t="s">
        <v>74</v>
      </c>
      <c r="AD3" s="36" t="s">
        <v>67</v>
      </c>
      <c r="AE3" s="36" t="s">
        <v>67</v>
      </c>
      <c r="AF3" s="19" t="s">
        <v>73</v>
      </c>
      <c r="AG3" s="23"/>
      <c r="AH3" s="36" t="s">
        <v>67</v>
      </c>
      <c r="AI3" s="36">
        <v>3</v>
      </c>
      <c r="AJ3" s="36">
        <v>2</v>
      </c>
      <c r="AK3" s="43">
        <f t="shared" ref="AK3:AK69" si="0">COUNTIF(D3:AH3, "P")  + COUNTIF(D3:AH3, "H") +  (COUNTIF(D3:AH3, "L/2")  ) * 0.5</f>
        <v>20</v>
      </c>
      <c r="AL3" s="36">
        <v>3</v>
      </c>
      <c r="AM3" s="36">
        <f t="shared" ref="AM3:AM23" si="1">SUM(AI3,AK3,AL3)</f>
        <v>26</v>
      </c>
      <c r="AN3" s="44">
        <f t="shared" ref="AN3:AN69" si="2">SUM(AJ3,AK3)</f>
        <v>22</v>
      </c>
      <c r="AO3" s="45" t="s">
        <v>130</v>
      </c>
      <c r="AP3" s="37" t="s">
        <v>11</v>
      </c>
      <c r="AQ3" s="46" t="s">
        <v>12</v>
      </c>
      <c r="AR3" s="47">
        <v>24000</v>
      </c>
      <c r="AS3" s="48" t="s">
        <v>132</v>
      </c>
      <c r="AT3" s="49">
        <v>24000</v>
      </c>
      <c r="AU3" s="36">
        <v>17000</v>
      </c>
      <c r="AV3" s="50">
        <f>CEILING( (AU3/AM3)*AN3, 50)</f>
        <v>14400</v>
      </c>
      <c r="AW3" s="51">
        <f t="shared" ref="AW3:AW25" si="3">CEILING( (AU3/AM3)*AN3, 50)</f>
        <v>14400</v>
      </c>
      <c r="AX3" s="50">
        <f t="shared" ref="AX3:AX69" si="4">IFERROR(AW3-AV3, AW3)</f>
        <v>0</v>
      </c>
      <c r="AY3" s="52">
        <f t="shared" ref="AY3:AY69" si="5">AT3-AW3</f>
        <v>9600</v>
      </c>
      <c r="AZ3" s="53">
        <v>46267</v>
      </c>
      <c r="BA3" s="54" t="s">
        <v>142</v>
      </c>
    </row>
    <row r="4" spans="1:53" ht="14.25" customHeight="1">
      <c r="A4" s="36">
        <v>2</v>
      </c>
      <c r="B4" s="37" t="s">
        <v>24</v>
      </c>
      <c r="C4" s="37" t="s">
        <v>25</v>
      </c>
      <c r="D4" s="19" t="s">
        <v>67</v>
      </c>
      <c r="E4" s="23"/>
      <c r="F4" s="36" t="s">
        <v>67</v>
      </c>
      <c r="G4" s="36" t="s">
        <v>67</v>
      </c>
      <c r="H4" s="36" t="s">
        <v>67</v>
      </c>
      <c r="I4" s="36" t="s">
        <v>67</v>
      </c>
      <c r="J4" s="36" t="s">
        <v>67</v>
      </c>
      <c r="K4" s="19" t="s">
        <v>73</v>
      </c>
      <c r="L4" s="23"/>
      <c r="M4" s="36" t="s">
        <v>67</v>
      </c>
      <c r="N4" s="36" t="s">
        <v>67</v>
      </c>
      <c r="O4" s="36" t="s">
        <v>67</v>
      </c>
      <c r="P4" s="36" t="s">
        <v>67</v>
      </c>
      <c r="Q4" s="36" t="s">
        <v>67</v>
      </c>
      <c r="R4" s="19" t="s">
        <v>67</v>
      </c>
      <c r="S4" s="23"/>
      <c r="T4" s="36" t="s">
        <v>67</v>
      </c>
      <c r="U4" s="36" t="s">
        <v>144</v>
      </c>
      <c r="V4" s="36" t="s">
        <v>67</v>
      </c>
      <c r="W4" s="36" t="s">
        <v>67</v>
      </c>
      <c r="X4" s="36" t="s">
        <v>67</v>
      </c>
      <c r="Y4" s="19" t="s">
        <v>73</v>
      </c>
      <c r="Z4" s="23"/>
      <c r="AA4" s="36" t="s">
        <v>67</v>
      </c>
      <c r="AB4" s="36" t="s">
        <v>67</v>
      </c>
      <c r="AC4" s="36" t="s">
        <v>74</v>
      </c>
      <c r="AD4" s="36" t="s">
        <v>67</v>
      </c>
      <c r="AE4" s="36" t="s">
        <v>67</v>
      </c>
      <c r="AF4" s="19" t="s">
        <v>70</v>
      </c>
      <c r="AG4" s="23"/>
      <c r="AH4" s="36" t="s">
        <v>67</v>
      </c>
      <c r="AI4" s="36">
        <v>3</v>
      </c>
      <c r="AJ4" s="36">
        <v>2</v>
      </c>
      <c r="AK4" s="43">
        <f t="shared" si="0"/>
        <v>22</v>
      </c>
      <c r="AL4" s="36">
        <v>1</v>
      </c>
      <c r="AM4" s="36">
        <f t="shared" si="1"/>
        <v>26</v>
      </c>
      <c r="AN4" s="44">
        <f t="shared" si="2"/>
        <v>24</v>
      </c>
      <c r="AO4" s="45" t="s">
        <v>24</v>
      </c>
      <c r="AP4" s="37" t="s">
        <v>25</v>
      </c>
      <c r="AQ4" s="46" t="s">
        <v>12</v>
      </c>
      <c r="AR4" s="47">
        <v>24000</v>
      </c>
      <c r="AS4" s="48" t="s">
        <v>148</v>
      </c>
      <c r="AT4" s="49">
        <v>24000</v>
      </c>
      <c r="AU4" s="36">
        <v>17000</v>
      </c>
      <c r="AV4" s="50">
        <f t="shared" ref="AV4:AV25" si="6">(AU4/AM4)*AN4</f>
        <v>15692.307692307691</v>
      </c>
      <c r="AW4" s="51">
        <f t="shared" si="3"/>
        <v>15700</v>
      </c>
      <c r="AX4" s="50">
        <f t="shared" si="4"/>
        <v>7.6923076923085318</v>
      </c>
      <c r="AY4" s="52">
        <f t="shared" si="5"/>
        <v>8300</v>
      </c>
      <c r="AZ4" s="54" t="s">
        <v>149</v>
      </c>
      <c r="BA4" s="54" t="s">
        <v>150</v>
      </c>
    </row>
    <row r="5" spans="1:53" ht="14.25" customHeight="1">
      <c r="A5" s="36">
        <v>3</v>
      </c>
      <c r="B5" s="37" t="s">
        <v>28</v>
      </c>
      <c r="C5" s="37" t="s">
        <v>25</v>
      </c>
      <c r="D5" s="19" t="s">
        <v>67</v>
      </c>
      <c r="E5" s="23"/>
      <c r="F5" s="36" t="s">
        <v>67</v>
      </c>
      <c r="G5" s="36" t="s">
        <v>67</v>
      </c>
      <c r="H5" s="36" t="s">
        <v>67</v>
      </c>
      <c r="I5" s="36" t="s">
        <v>67</v>
      </c>
      <c r="J5" s="36" t="s">
        <v>67</v>
      </c>
      <c r="K5" s="19" t="s">
        <v>73</v>
      </c>
      <c r="L5" s="23"/>
      <c r="M5" s="36" t="s">
        <v>67</v>
      </c>
      <c r="N5" s="36" t="s">
        <v>67</v>
      </c>
      <c r="O5" s="36" t="s">
        <v>67</v>
      </c>
      <c r="P5" s="36" t="s">
        <v>67</v>
      </c>
      <c r="Q5" s="36" t="s">
        <v>67</v>
      </c>
      <c r="R5" s="19" t="s">
        <v>67</v>
      </c>
      <c r="S5" s="23"/>
      <c r="T5" s="36" t="s">
        <v>67</v>
      </c>
      <c r="U5" s="36" t="s">
        <v>67</v>
      </c>
      <c r="V5" s="36" t="s">
        <v>67</v>
      </c>
      <c r="W5" s="36" t="s">
        <v>67</v>
      </c>
      <c r="X5" s="36" t="s">
        <v>67</v>
      </c>
      <c r="Y5" s="19" t="s">
        <v>73</v>
      </c>
      <c r="Z5" s="23"/>
      <c r="AA5" s="36" t="s">
        <v>67</v>
      </c>
      <c r="AB5" s="36" t="s">
        <v>67</v>
      </c>
      <c r="AC5" s="36" t="s">
        <v>74</v>
      </c>
      <c r="AD5" s="36" t="s">
        <v>67</v>
      </c>
      <c r="AE5" s="36" t="s">
        <v>67</v>
      </c>
      <c r="AF5" s="19" t="s">
        <v>73</v>
      </c>
      <c r="AG5" s="23"/>
      <c r="AH5" s="36" t="s">
        <v>67</v>
      </c>
      <c r="AI5" s="36">
        <v>3</v>
      </c>
      <c r="AJ5" s="36">
        <v>3</v>
      </c>
      <c r="AK5" s="43">
        <f t="shared" si="0"/>
        <v>23</v>
      </c>
      <c r="AL5" s="36">
        <v>0</v>
      </c>
      <c r="AM5" s="36">
        <f t="shared" si="1"/>
        <v>26</v>
      </c>
      <c r="AN5" s="44">
        <f t="shared" si="2"/>
        <v>26</v>
      </c>
      <c r="AO5" s="45" t="s">
        <v>28</v>
      </c>
      <c r="AP5" s="37" t="s">
        <v>25</v>
      </c>
      <c r="AQ5" s="46" t="s">
        <v>12</v>
      </c>
      <c r="AR5" s="47">
        <v>24000</v>
      </c>
      <c r="AS5" s="48" t="s">
        <v>148</v>
      </c>
      <c r="AT5" s="49">
        <v>24000</v>
      </c>
      <c r="AU5" s="36">
        <v>16500</v>
      </c>
      <c r="AV5" s="50">
        <f t="shared" si="6"/>
        <v>16500</v>
      </c>
      <c r="AW5" s="51">
        <f t="shared" si="3"/>
        <v>16500</v>
      </c>
      <c r="AX5" s="50">
        <f t="shared" si="4"/>
        <v>0</v>
      </c>
      <c r="AY5" s="52">
        <f t="shared" si="5"/>
        <v>7500</v>
      </c>
      <c r="AZ5" s="53">
        <v>46267</v>
      </c>
      <c r="BA5" s="54" t="s">
        <v>142</v>
      </c>
    </row>
    <row r="6" spans="1:53" ht="14.25" customHeight="1">
      <c r="A6" s="36">
        <v>4</v>
      </c>
      <c r="B6" s="37" t="s">
        <v>32</v>
      </c>
      <c r="C6" s="37" t="s">
        <v>152</v>
      </c>
      <c r="D6" s="19" t="s">
        <v>67</v>
      </c>
      <c r="E6" s="23"/>
      <c r="F6" s="36" t="s">
        <v>67</v>
      </c>
      <c r="G6" s="36" t="s">
        <v>67</v>
      </c>
      <c r="H6" s="36" t="s">
        <v>67</v>
      </c>
      <c r="I6" s="36" t="s">
        <v>67</v>
      </c>
      <c r="J6" s="36" t="s">
        <v>67</v>
      </c>
      <c r="K6" s="19" t="s">
        <v>73</v>
      </c>
      <c r="L6" s="23"/>
      <c r="M6" s="36" t="s">
        <v>67</v>
      </c>
      <c r="N6" s="36" t="s">
        <v>67</v>
      </c>
      <c r="O6" s="36" t="s">
        <v>67</v>
      </c>
      <c r="P6" s="36" t="s">
        <v>67</v>
      </c>
      <c r="Q6" s="36" t="s">
        <v>67</v>
      </c>
      <c r="R6" s="19" t="s">
        <v>67</v>
      </c>
      <c r="S6" s="23"/>
      <c r="T6" s="36" t="s">
        <v>67</v>
      </c>
      <c r="U6" s="36" t="s">
        <v>67</v>
      </c>
      <c r="V6" s="36" t="s">
        <v>67</v>
      </c>
      <c r="W6" s="36" t="s">
        <v>67</v>
      </c>
      <c r="X6" s="36" t="s">
        <v>67</v>
      </c>
      <c r="Y6" s="19" t="s">
        <v>70</v>
      </c>
      <c r="Z6" s="23"/>
      <c r="AA6" s="36" t="s">
        <v>67</v>
      </c>
      <c r="AB6" s="36" t="s">
        <v>67</v>
      </c>
      <c r="AC6" s="36" t="s">
        <v>74</v>
      </c>
      <c r="AD6" s="36" t="s">
        <v>67</v>
      </c>
      <c r="AE6" s="36" t="s">
        <v>67</v>
      </c>
      <c r="AF6" s="19" t="s">
        <v>73</v>
      </c>
      <c r="AG6" s="23"/>
      <c r="AH6" s="36" t="s">
        <v>67</v>
      </c>
      <c r="AI6" s="36">
        <v>3</v>
      </c>
      <c r="AJ6" s="36">
        <v>2</v>
      </c>
      <c r="AK6" s="43">
        <f t="shared" si="0"/>
        <v>23</v>
      </c>
      <c r="AL6" s="36">
        <v>0</v>
      </c>
      <c r="AM6" s="36">
        <f t="shared" si="1"/>
        <v>26</v>
      </c>
      <c r="AN6" s="44">
        <f t="shared" si="2"/>
        <v>25</v>
      </c>
      <c r="AO6" s="45" t="s">
        <v>154</v>
      </c>
      <c r="AP6" s="37" t="s">
        <v>33</v>
      </c>
      <c r="AQ6" s="46" t="s">
        <v>155</v>
      </c>
      <c r="AR6" s="47">
        <v>24000</v>
      </c>
      <c r="AS6" s="48" t="s">
        <v>132</v>
      </c>
      <c r="AT6" s="49">
        <v>24000</v>
      </c>
      <c r="AU6" s="36">
        <v>14000</v>
      </c>
      <c r="AV6" s="50">
        <f t="shared" si="6"/>
        <v>13461.538461538461</v>
      </c>
      <c r="AW6" s="51">
        <f t="shared" si="3"/>
        <v>13500</v>
      </c>
      <c r="AX6" s="50">
        <f t="shared" si="4"/>
        <v>38.461538461539021</v>
      </c>
      <c r="AY6" s="52">
        <f t="shared" si="5"/>
        <v>10500</v>
      </c>
      <c r="AZ6" s="53">
        <v>46267</v>
      </c>
      <c r="BA6" s="54" t="s">
        <v>142</v>
      </c>
    </row>
    <row r="7" spans="1:53" ht="14.25" customHeight="1">
      <c r="A7" s="36">
        <v>5</v>
      </c>
      <c r="B7" s="45" t="s">
        <v>38</v>
      </c>
      <c r="C7" s="37" t="s">
        <v>25</v>
      </c>
      <c r="D7" s="19" t="s">
        <v>67</v>
      </c>
      <c r="E7" s="23"/>
      <c r="F7" s="36" t="s">
        <v>67</v>
      </c>
      <c r="G7" s="36" t="s">
        <v>67</v>
      </c>
      <c r="H7" s="36" t="s">
        <v>67</v>
      </c>
      <c r="I7" s="36" t="s">
        <v>67</v>
      </c>
      <c r="J7" s="36" t="s">
        <v>67</v>
      </c>
      <c r="K7" s="19" t="s">
        <v>73</v>
      </c>
      <c r="L7" s="23"/>
      <c r="M7" s="36" t="s">
        <v>67</v>
      </c>
      <c r="N7" s="36" t="s">
        <v>67</v>
      </c>
      <c r="O7" s="36" t="s">
        <v>67</v>
      </c>
      <c r="P7" s="36" t="s">
        <v>67</v>
      </c>
      <c r="Q7" s="36" t="s">
        <v>67</v>
      </c>
      <c r="R7" s="19" t="s">
        <v>67</v>
      </c>
      <c r="S7" s="23"/>
      <c r="T7" s="36" t="s">
        <v>67</v>
      </c>
      <c r="U7" s="36" t="s">
        <v>67</v>
      </c>
      <c r="V7" s="36" t="s">
        <v>67</v>
      </c>
      <c r="W7" s="36" t="s">
        <v>67</v>
      </c>
      <c r="X7" s="36" t="s">
        <v>67</v>
      </c>
      <c r="Y7" s="19" t="s">
        <v>73</v>
      </c>
      <c r="Z7" s="23"/>
      <c r="AA7" s="36" t="s">
        <v>67</v>
      </c>
      <c r="AB7" s="36" t="s">
        <v>67</v>
      </c>
      <c r="AC7" s="36" t="s">
        <v>74</v>
      </c>
      <c r="AD7" s="36" t="s">
        <v>144</v>
      </c>
      <c r="AE7" s="36" t="s">
        <v>67</v>
      </c>
      <c r="AF7" s="19" t="s">
        <v>73</v>
      </c>
      <c r="AG7" s="23"/>
      <c r="AH7" s="36" t="s">
        <v>67</v>
      </c>
      <c r="AI7" s="36">
        <v>3</v>
      </c>
      <c r="AJ7" s="36">
        <v>3</v>
      </c>
      <c r="AK7" s="43">
        <f t="shared" si="0"/>
        <v>22</v>
      </c>
      <c r="AL7" s="36">
        <v>1</v>
      </c>
      <c r="AM7" s="36">
        <f t="shared" si="1"/>
        <v>26</v>
      </c>
      <c r="AN7" s="44">
        <f t="shared" si="2"/>
        <v>25</v>
      </c>
      <c r="AO7" s="45" t="s">
        <v>38</v>
      </c>
      <c r="AP7" s="37" t="s">
        <v>25</v>
      </c>
      <c r="AQ7" s="46" t="s">
        <v>155</v>
      </c>
      <c r="AR7" s="47">
        <v>24000</v>
      </c>
      <c r="AS7" s="48" t="s">
        <v>132</v>
      </c>
      <c r="AT7" s="49">
        <v>24000</v>
      </c>
      <c r="AU7" s="36">
        <v>17000</v>
      </c>
      <c r="AV7" s="50">
        <f t="shared" si="6"/>
        <v>16346.153846153846</v>
      </c>
      <c r="AW7" s="51">
        <f t="shared" si="3"/>
        <v>16350</v>
      </c>
      <c r="AX7" s="50">
        <f t="shared" si="4"/>
        <v>3.8461538461542659</v>
      </c>
      <c r="AY7" s="52">
        <f t="shared" si="5"/>
        <v>7650</v>
      </c>
      <c r="AZ7" s="53">
        <v>46267</v>
      </c>
      <c r="BA7" s="54" t="s">
        <v>142</v>
      </c>
    </row>
    <row r="8" spans="1:53" ht="14.25" customHeight="1">
      <c r="A8" s="36">
        <v>6</v>
      </c>
      <c r="B8" s="37" t="s">
        <v>42</v>
      </c>
      <c r="C8" s="37" t="s">
        <v>43</v>
      </c>
      <c r="D8" s="19" t="s">
        <v>67</v>
      </c>
      <c r="E8" s="23"/>
      <c r="F8" s="36" t="s">
        <v>67</v>
      </c>
      <c r="G8" s="36" t="s">
        <v>67</v>
      </c>
      <c r="H8" s="36" t="s">
        <v>67</v>
      </c>
      <c r="I8" s="36" t="s">
        <v>67</v>
      </c>
      <c r="J8" s="36" t="s">
        <v>67</v>
      </c>
      <c r="K8" s="19" t="s">
        <v>73</v>
      </c>
      <c r="L8" s="23"/>
      <c r="M8" s="36" t="s">
        <v>67</v>
      </c>
      <c r="N8" s="36" t="s">
        <v>67</v>
      </c>
      <c r="O8" s="36" t="s">
        <v>67</v>
      </c>
      <c r="P8" s="36" t="s">
        <v>67</v>
      </c>
      <c r="Q8" s="36" t="s">
        <v>144</v>
      </c>
      <c r="R8" s="19" t="s">
        <v>67</v>
      </c>
      <c r="S8" s="23"/>
      <c r="T8" s="36" t="s">
        <v>67</v>
      </c>
      <c r="U8" s="36" t="s">
        <v>67</v>
      </c>
      <c r="V8" s="36" t="s">
        <v>67</v>
      </c>
      <c r="W8" s="36" t="s">
        <v>67</v>
      </c>
      <c r="X8" s="36" t="s">
        <v>67</v>
      </c>
      <c r="Y8" s="19" t="s">
        <v>73</v>
      </c>
      <c r="Z8" s="23"/>
      <c r="AA8" s="36" t="s">
        <v>144</v>
      </c>
      <c r="AB8" s="36" t="s">
        <v>67</v>
      </c>
      <c r="AC8" s="36" t="s">
        <v>74</v>
      </c>
      <c r="AD8" s="36" t="s">
        <v>67</v>
      </c>
      <c r="AE8" s="36" t="s">
        <v>67</v>
      </c>
      <c r="AF8" s="19" t="s">
        <v>73</v>
      </c>
      <c r="AG8" s="23"/>
      <c r="AH8" s="36" t="s">
        <v>67</v>
      </c>
      <c r="AI8" s="36">
        <v>3</v>
      </c>
      <c r="AJ8" s="36">
        <v>3</v>
      </c>
      <c r="AK8" s="43">
        <f t="shared" si="0"/>
        <v>21</v>
      </c>
      <c r="AL8" s="36">
        <v>2</v>
      </c>
      <c r="AM8" s="36">
        <f t="shared" si="1"/>
        <v>26</v>
      </c>
      <c r="AN8" s="44">
        <f t="shared" si="2"/>
        <v>24</v>
      </c>
      <c r="AO8" s="45" t="s">
        <v>42</v>
      </c>
      <c r="AP8" s="37" t="s">
        <v>43</v>
      </c>
      <c r="AQ8" s="46" t="s">
        <v>158</v>
      </c>
      <c r="AR8" s="47">
        <v>20000</v>
      </c>
      <c r="AS8" s="48" t="s">
        <v>159</v>
      </c>
      <c r="AT8" s="49">
        <v>21000</v>
      </c>
      <c r="AU8" s="36">
        <v>15000</v>
      </c>
      <c r="AV8" s="50">
        <f t="shared" si="6"/>
        <v>13846.153846153846</v>
      </c>
      <c r="AW8" s="51">
        <f t="shared" si="3"/>
        <v>13850</v>
      </c>
      <c r="AX8" s="50">
        <f t="shared" si="4"/>
        <v>3.8461538461542659</v>
      </c>
      <c r="AY8" s="52">
        <f t="shared" si="5"/>
        <v>7150</v>
      </c>
      <c r="AZ8" s="53">
        <v>46272</v>
      </c>
      <c r="BA8" s="54" t="s">
        <v>6</v>
      </c>
    </row>
    <row r="9" spans="1:53" ht="14.25" customHeight="1">
      <c r="A9" s="36">
        <v>7</v>
      </c>
      <c r="B9" s="37" t="s">
        <v>50</v>
      </c>
      <c r="C9" s="37" t="s">
        <v>43</v>
      </c>
      <c r="D9" s="19" t="s">
        <v>67</v>
      </c>
      <c r="E9" s="23"/>
      <c r="F9" s="36" t="s">
        <v>67</v>
      </c>
      <c r="G9" s="36" t="s">
        <v>67</v>
      </c>
      <c r="H9" s="36" t="s">
        <v>67</v>
      </c>
      <c r="I9" s="36" t="s">
        <v>67</v>
      </c>
      <c r="J9" s="36" t="s">
        <v>67</v>
      </c>
      <c r="K9" s="19" t="s">
        <v>73</v>
      </c>
      <c r="L9" s="23"/>
      <c r="M9" s="36" t="s">
        <v>67</v>
      </c>
      <c r="N9" s="36" t="s">
        <v>67</v>
      </c>
      <c r="O9" s="36" t="s">
        <v>67</v>
      </c>
      <c r="P9" s="36" t="s">
        <v>67</v>
      </c>
      <c r="Q9" s="36" t="s">
        <v>67</v>
      </c>
      <c r="R9" s="19" t="s">
        <v>67</v>
      </c>
      <c r="S9" s="23"/>
      <c r="T9" s="36" t="s">
        <v>67</v>
      </c>
      <c r="U9" s="36" t="s">
        <v>67</v>
      </c>
      <c r="V9" s="36" t="s">
        <v>67</v>
      </c>
      <c r="W9" s="36" t="s">
        <v>67</v>
      </c>
      <c r="X9" s="36" t="s">
        <v>67</v>
      </c>
      <c r="Y9" s="19" t="s">
        <v>73</v>
      </c>
      <c r="Z9" s="23"/>
      <c r="AA9" s="36" t="s">
        <v>67</v>
      </c>
      <c r="AB9" s="36" t="s">
        <v>67</v>
      </c>
      <c r="AC9" s="36" t="s">
        <v>74</v>
      </c>
      <c r="AD9" s="36" t="s">
        <v>67</v>
      </c>
      <c r="AE9" s="36" t="s">
        <v>67</v>
      </c>
      <c r="AF9" s="19" t="s">
        <v>73</v>
      </c>
      <c r="AG9" s="23"/>
      <c r="AH9" s="36" t="s">
        <v>144</v>
      </c>
      <c r="AI9" s="36">
        <v>3</v>
      </c>
      <c r="AJ9" s="36">
        <v>3</v>
      </c>
      <c r="AK9" s="43">
        <f t="shared" si="0"/>
        <v>22</v>
      </c>
      <c r="AL9" s="36">
        <v>1</v>
      </c>
      <c r="AM9" s="36">
        <f t="shared" si="1"/>
        <v>26</v>
      </c>
      <c r="AN9" s="44">
        <f t="shared" si="2"/>
        <v>25</v>
      </c>
      <c r="AO9" s="45" t="s">
        <v>50</v>
      </c>
      <c r="AP9" s="37" t="s">
        <v>43</v>
      </c>
      <c r="AQ9" s="46" t="s">
        <v>158</v>
      </c>
      <c r="AR9" s="47">
        <v>20000</v>
      </c>
      <c r="AS9" s="48" t="s">
        <v>159</v>
      </c>
      <c r="AT9" s="49">
        <v>21000</v>
      </c>
      <c r="AU9" s="36">
        <v>15000</v>
      </c>
      <c r="AV9" s="50">
        <f t="shared" si="6"/>
        <v>14423.076923076922</v>
      </c>
      <c r="AW9" s="51">
        <f t="shared" si="3"/>
        <v>14450</v>
      </c>
      <c r="AX9" s="50">
        <f t="shared" si="4"/>
        <v>26.923076923078042</v>
      </c>
      <c r="AY9" s="52">
        <f t="shared" si="5"/>
        <v>6550</v>
      </c>
      <c r="AZ9" s="53">
        <v>46272</v>
      </c>
      <c r="BA9" s="54" t="s">
        <v>6</v>
      </c>
    </row>
    <row r="10" spans="1:53" ht="14.25" customHeight="1">
      <c r="A10" s="36">
        <v>8</v>
      </c>
      <c r="B10" s="37" t="s">
        <v>53</v>
      </c>
      <c r="C10" s="37" t="s">
        <v>54</v>
      </c>
      <c r="D10" s="19" t="s">
        <v>67</v>
      </c>
      <c r="E10" s="23"/>
      <c r="F10" s="36" t="s">
        <v>67</v>
      </c>
      <c r="G10" s="36" t="s">
        <v>67</v>
      </c>
      <c r="H10" s="36" t="s">
        <v>67</v>
      </c>
      <c r="I10" s="36" t="s">
        <v>67</v>
      </c>
      <c r="J10" s="36" t="s">
        <v>67</v>
      </c>
      <c r="K10" s="19" t="s">
        <v>73</v>
      </c>
      <c r="L10" s="23"/>
      <c r="M10" s="36" t="s">
        <v>70</v>
      </c>
      <c r="N10" s="36" t="s">
        <v>67</v>
      </c>
      <c r="O10" s="36" t="s">
        <v>67</v>
      </c>
      <c r="P10" s="36" t="s">
        <v>67</v>
      </c>
      <c r="Q10" s="36" t="s">
        <v>67</v>
      </c>
      <c r="R10" s="19" t="s">
        <v>67</v>
      </c>
      <c r="S10" s="23"/>
      <c r="T10" s="36" t="s">
        <v>67</v>
      </c>
      <c r="U10" s="36" t="s">
        <v>67</v>
      </c>
      <c r="V10" s="36" t="s">
        <v>67</v>
      </c>
      <c r="W10" s="36" t="s">
        <v>67</v>
      </c>
      <c r="X10" s="36" t="s">
        <v>67</v>
      </c>
      <c r="Y10" s="19" t="s">
        <v>73</v>
      </c>
      <c r="Z10" s="23"/>
      <c r="AA10" s="36" t="s">
        <v>67</v>
      </c>
      <c r="AB10" s="36" t="s">
        <v>67</v>
      </c>
      <c r="AC10" s="36" t="s">
        <v>74</v>
      </c>
      <c r="AD10" s="36" t="s">
        <v>67</v>
      </c>
      <c r="AE10" s="36" t="s">
        <v>67</v>
      </c>
      <c r="AF10" s="19" t="s">
        <v>73</v>
      </c>
      <c r="AG10" s="23"/>
      <c r="AH10" s="36" t="s">
        <v>67</v>
      </c>
      <c r="AI10" s="36">
        <v>3</v>
      </c>
      <c r="AJ10" s="36">
        <v>3</v>
      </c>
      <c r="AK10" s="43">
        <f t="shared" si="0"/>
        <v>22</v>
      </c>
      <c r="AL10" s="36">
        <v>1</v>
      </c>
      <c r="AM10" s="36">
        <f t="shared" si="1"/>
        <v>26</v>
      </c>
      <c r="AN10" s="44">
        <f t="shared" si="2"/>
        <v>25</v>
      </c>
      <c r="AO10" s="45" t="s">
        <v>53</v>
      </c>
      <c r="AP10" s="37" t="s">
        <v>54</v>
      </c>
      <c r="AQ10" s="46" t="s">
        <v>158</v>
      </c>
      <c r="AR10" s="47">
        <v>21000</v>
      </c>
      <c r="AS10" s="48" t="s">
        <v>162</v>
      </c>
      <c r="AT10" s="49">
        <v>21000</v>
      </c>
      <c r="AU10" s="36">
        <v>15000</v>
      </c>
      <c r="AV10" s="50">
        <f t="shared" si="6"/>
        <v>14423.076923076922</v>
      </c>
      <c r="AW10" s="51">
        <f t="shared" si="3"/>
        <v>14450</v>
      </c>
      <c r="AX10" s="50">
        <f t="shared" si="4"/>
        <v>26.923076923078042</v>
      </c>
      <c r="AY10" s="52">
        <f t="shared" si="5"/>
        <v>6550</v>
      </c>
      <c r="AZ10" s="53">
        <v>46271</v>
      </c>
      <c r="BA10" s="54" t="s">
        <v>6</v>
      </c>
    </row>
    <row r="11" spans="1:53" ht="14.25" customHeight="1">
      <c r="A11" s="36">
        <v>9</v>
      </c>
      <c r="B11" s="37" t="s">
        <v>58</v>
      </c>
      <c r="C11" s="37" t="s">
        <v>59</v>
      </c>
      <c r="D11" s="19" t="s">
        <v>67</v>
      </c>
      <c r="E11" s="23"/>
      <c r="F11" s="36" t="s">
        <v>67</v>
      </c>
      <c r="G11" s="36" t="s">
        <v>67</v>
      </c>
      <c r="H11" s="36" t="s">
        <v>67</v>
      </c>
      <c r="I11" s="36" t="s">
        <v>67</v>
      </c>
      <c r="J11" s="36" t="s">
        <v>67</v>
      </c>
      <c r="K11" s="19" t="s">
        <v>73</v>
      </c>
      <c r="L11" s="23"/>
      <c r="M11" s="36" t="s">
        <v>67</v>
      </c>
      <c r="N11" s="36" t="s">
        <v>67</v>
      </c>
      <c r="O11" s="36" t="s">
        <v>67</v>
      </c>
      <c r="P11" s="36" t="s">
        <v>67</v>
      </c>
      <c r="Q11" s="36" t="s">
        <v>67</v>
      </c>
      <c r="R11" s="19" t="s">
        <v>67</v>
      </c>
      <c r="S11" s="23"/>
      <c r="T11" s="36" t="s">
        <v>67</v>
      </c>
      <c r="U11" s="36" t="s">
        <v>67</v>
      </c>
      <c r="V11" s="36" t="s">
        <v>67</v>
      </c>
      <c r="W11" s="36" t="s">
        <v>67</v>
      </c>
      <c r="X11" s="36" t="s">
        <v>67</v>
      </c>
      <c r="Y11" s="19" t="s">
        <v>73</v>
      </c>
      <c r="Z11" s="23"/>
      <c r="AA11" s="36" t="s">
        <v>67</v>
      </c>
      <c r="AB11" s="36" t="s">
        <v>67</v>
      </c>
      <c r="AC11" s="36" t="s">
        <v>74</v>
      </c>
      <c r="AD11" s="36" t="s">
        <v>67</v>
      </c>
      <c r="AE11" s="36" t="s">
        <v>67</v>
      </c>
      <c r="AF11" s="19" t="s">
        <v>70</v>
      </c>
      <c r="AG11" s="23"/>
      <c r="AH11" s="36" t="s">
        <v>67</v>
      </c>
      <c r="AI11" s="36">
        <v>3</v>
      </c>
      <c r="AJ11" s="36">
        <v>2</v>
      </c>
      <c r="AK11" s="43">
        <f t="shared" si="0"/>
        <v>23</v>
      </c>
      <c r="AL11" s="36">
        <v>0</v>
      </c>
      <c r="AM11" s="36">
        <f t="shared" si="1"/>
        <v>26</v>
      </c>
      <c r="AN11" s="44">
        <f t="shared" si="2"/>
        <v>25</v>
      </c>
      <c r="AO11" s="45" t="s">
        <v>58</v>
      </c>
      <c r="AP11" s="37" t="s">
        <v>59</v>
      </c>
      <c r="AQ11" s="46" t="s">
        <v>6</v>
      </c>
      <c r="AR11" s="47">
        <v>20000</v>
      </c>
      <c r="AS11" s="48" t="s">
        <v>163</v>
      </c>
      <c r="AT11" s="49">
        <v>20000</v>
      </c>
      <c r="AU11" s="36">
        <v>14000</v>
      </c>
      <c r="AV11" s="50">
        <f t="shared" si="6"/>
        <v>13461.538461538461</v>
      </c>
      <c r="AW11" s="51">
        <f t="shared" si="3"/>
        <v>13500</v>
      </c>
      <c r="AX11" s="50">
        <f t="shared" si="4"/>
        <v>38.461538461539021</v>
      </c>
      <c r="AY11" s="52">
        <f t="shared" si="5"/>
        <v>6500</v>
      </c>
      <c r="AZ11" s="53">
        <v>46274</v>
      </c>
      <c r="BA11" s="54" t="s">
        <v>6</v>
      </c>
    </row>
    <row r="12" spans="1:53" ht="14.25" customHeight="1">
      <c r="A12" s="36">
        <v>10</v>
      </c>
      <c r="B12" s="37" t="s">
        <v>63</v>
      </c>
      <c r="C12" s="37" t="s">
        <v>64</v>
      </c>
      <c r="D12" s="19" t="s">
        <v>67</v>
      </c>
      <c r="E12" s="23"/>
      <c r="F12" s="36" t="s">
        <v>67</v>
      </c>
      <c r="G12" s="36" t="s">
        <v>67</v>
      </c>
      <c r="H12" s="36" t="s">
        <v>67</v>
      </c>
      <c r="I12" s="36" t="s">
        <v>67</v>
      </c>
      <c r="J12" s="36" t="s">
        <v>67</v>
      </c>
      <c r="K12" s="19" t="s">
        <v>73</v>
      </c>
      <c r="L12" s="23"/>
      <c r="M12" s="36" t="s">
        <v>67</v>
      </c>
      <c r="N12" s="36" t="s">
        <v>67</v>
      </c>
      <c r="O12" s="36" t="s">
        <v>67</v>
      </c>
      <c r="P12" s="36" t="s">
        <v>67</v>
      </c>
      <c r="Q12" s="36" t="s">
        <v>67</v>
      </c>
      <c r="R12" s="19" t="s">
        <v>67</v>
      </c>
      <c r="S12" s="23"/>
      <c r="T12" s="36" t="s">
        <v>67</v>
      </c>
      <c r="U12" s="36" t="s">
        <v>67</v>
      </c>
      <c r="V12" s="36" t="s">
        <v>67</v>
      </c>
      <c r="W12" s="36" t="s">
        <v>67</v>
      </c>
      <c r="X12" s="36" t="s">
        <v>67</v>
      </c>
      <c r="Y12" s="19" t="s">
        <v>73</v>
      </c>
      <c r="Z12" s="23"/>
      <c r="AA12" s="36" t="s">
        <v>67</v>
      </c>
      <c r="AB12" s="36" t="s">
        <v>67</v>
      </c>
      <c r="AC12" s="36" t="s">
        <v>74</v>
      </c>
      <c r="AD12" s="36" t="s">
        <v>67</v>
      </c>
      <c r="AE12" s="36" t="s">
        <v>67</v>
      </c>
      <c r="AF12" s="19" t="s">
        <v>73</v>
      </c>
      <c r="AG12" s="23"/>
      <c r="AH12" s="36" t="s">
        <v>144</v>
      </c>
      <c r="AI12" s="36">
        <v>3</v>
      </c>
      <c r="AJ12" s="36">
        <v>3</v>
      </c>
      <c r="AK12" s="43">
        <f t="shared" si="0"/>
        <v>22</v>
      </c>
      <c r="AL12" s="36">
        <v>1</v>
      </c>
      <c r="AM12" s="36">
        <f t="shared" si="1"/>
        <v>26</v>
      </c>
      <c r="AN12" s="44">
        <f t="shared" si="2"/>
        <v>25</v>
      </c>
      <c r="AO12" s="45" t="s">
        <v>63</v>
      </c>
      <c r="AP12" s="37" t="s">
        <v>64</v>
      </c>
      <c r="AQ12" s="46" t="s">
        <v>6</v>
      </c>
      <c r="AR12" s="47">
        <v>18000</v>
      </c>
      <c r="AS12" s="48" t="s">
        <v>164</v>
      </c>
      <c r="AT12" s="49">
        <v>18000</v>
      </c>
      <c r="AU12" s="36">
        <v>14000</v>
      </c>
      <c r="AV12" s="50">
        <f t="shared" si="6"/>
        <v>13461.538461538461</v>
      </c>
      <c r="AW12" s="51">
        <f t="shared" si="3"/>
        <v>13500</v>
      </c>
      <c r="AX12" s="50">
        <f t="shared" si="4"/>
        <v>38.461538461539021</v>
      </c>
      <c r="AY12" s="52">
        <f t="shared" si="5"/>
        <v>4500</v>
      </c>
      <c r="AZ12" s="54" t="s">
        <v>165</v>
      </c>
      <c r="BA12" s="54" t="s">
        <v>166</v>
      </c>
    </row>
    <row r="13" spans="1:53" ht="14.25" customHeight="1">
      <c r="A13" s="36">
        <v>11</v>
      </c>
      <c r="B13" s="37" t="s">
        <v>68</v>
      </c>
      <c r="C13" s="37" t="s">
        <v>69</v>
      </c>
      <c r="D13" s="19" t="s">
        <v>67</v>
      </c>
      <c r="E13" s="23"/>
      <c r="F13" s="36" t="s">
        <v>67</v>
      </c>
      <c r="G13" s="36" t="s">
        <v>67</v>
      </c>
      <c r="H13" s="36" t="s">
        <v>67</v>
      </c>
      <c r="I13" s="36" t="s">
        <v>67</v>
      </c>
      <c r="J13" s="36" t="s">
        <v>67</v>
      </c>
      <c r="K13" s="19" t="s">
        <v>73</v>
      </c>
      <c r="L13" s="23"/>
      <c r="M13" s="36" t="s">
        <v>67</v>
      </c>
      <c r="N13" s="36" t="s">
        <v>67</v>
      </c>
      <c r="O13" s="36" t="s">
        <v>67</v>
      </c>
      <c r="P13" s="36" t="s">
        <v>67</v>
      </c>
      <c r="Q13" s="36" t="s">
        <v>67</v>
      </c>
      <c r="R13" s="19" t="s">
        <v>67</v>
      </c>
      <c r="S13" s="23"/>
      <c r="T13" s="36" t="s">
        <v>67</v>
      </c>
      <c r="U13" s="36" t="s">
        <v>67</v>
      </c>
      <c r="V13" s="36" t="s">
        <v>67</v>
      </c>
      <c r="W13" s="36" t="s">
        <v>67</v>
      </c>
      <c r="X13" s="36" t="s">
        <v>67</v>
      </c>
      <c r="Y13" s="19" t="s">
        <v>73</v>
      </c>
      <c r="Z13" s="23"/>
      <c r="AA13" s="36" t="s">
        <v>67</v>
      </c>
      <c r="AB13" s="36" t="s">
        <v>67</v>
      </c>
      <c r="AC13" s="36" t="s">
        <v>74</v>
      </c>
      <c r="AD13" s="36" t="s">
        <v>67</v>
      </c>
      <c r="AE13" s="36" t="s">
        <v>67</v>
      </c>
      <c r="AF13" s="19" t="s">
        <v>70</v>
      </c>
      <c r="AG13" s="23"/>
      <c r="AH13" s="36" t="s">
        <v>67</v>
      </c>
      <c r="AI13" s="36">
        <v>3</v>
      </c>
      <c r="AJ13" s="36">
        <v>2</v>
      </c>
      <c r="AK13" s="43">
        <f t="shared" si="0"/>
        <v>23</v>
      </c>
      <c r="AL13" s="36">
        <v>0</v>
      </c>
      <c r="AM13" s="36">
        <f t="shared" si="1"/>
        <v>26</v>
      </c>
      <c r="AN13" s="44">
        <f t="shared" si="2"/>
        <v>25</v>
      </c>
      <c r="AO13" s="45" t="s">
        <v>68</v>
      </c>
      <c r="AP13" s="37" t="s">
        <v>69</v>
      </c>
      <c r="AQ13" s="46" t="s">
        <v>6</v>
      </c>
      <c r="AR13" s="47">
        <v>19000</v>
      </c>
      <c r="AS13" s="48" t="s">
        <v>167</v>
      </c>
      <c r="AT13" s="49">
        <v>19000</v>
      </c>
      <c r="AU13" s="36">
        <v>14000</v>
      </c>
      <c r="AV13" s="50">
        <f t="shared" si="6"/>
        <v>13461.538461538461</v>
      </c>
      <c r="AW13" s="51">
        <f t="shared" si="3"/>
        <v>13500</v>
      </c>
      <c r="AX13" s="50">
        <f t="shared" si="4"/>
        <v>38.461538461539021</v>
      </c>
      <c r="AY13" s="52">
        <f t="shared" si="5"/>
        <v>5500</v>
      </c>
      <c r="AZ13" s="53">
        <v>46274</v>
      </c>
      <c r="BA13" s="54" t="s">
        <v>166</v>
      </c>
    </row>
    <row r="14" spans="1:53" ht="14.25" customHeight="1">
      <c r="A14" s="36">
        <v>12</v>
      </c>
      <c r="B14" s="37" t="s">
        <v>71</v>
      </c>
      <c r="C14" s="37" t="s">
        <v>72</v>
      </c>
      <c r="D14" s="19" t="s">
        <v>67</v>
      </c>
      <c r="E14" s="23"/>
      <c r="F14" s="36" t="s">
        <v>67</v>
      </c>
      <c r="G14" s="36" t="s">
        <v>67</v>
      </c>
      <c r="H14" s="36" t="s">
        <v>67</v>
      </c>
      <c r="I14" s="36" t="s">
        <v>67</v>
      </c>
      <c r="J14" s="36" t="s">
        <v>67</v>
      </c>
      <c r="K14" s="19" t="s">
        <v>70</v>
      </c>
      <c r="L14" s="23"/>
      <c r="M14" s="36" t="s">
        <v>67</v>
      </c>
      <c r="N14" s="36" t="s">
        <v>67</v>
      </c>
      <c r="O14" s="36" t="s">
        <v>67</v>
      </c>
      <c r="P14" s="36" t="s">
        <v>67</v>
      </c>
      <c r="Q14" s="36" t="s">
        <v>144</v>
      </c>
      <c r="R14" s="19" t="s">
        <v>67</v>
      </c>
      <c r="S14" s="23"/>
      <c r="T14" s="36" t="s">
        <v>70</v>
      </c>
      <c r="U14" s="36" t="s">
        <v>67</v>
      </c>
      <c r="V14" s="36" t="s">
        <v>67</v>
      </c>
      <c r="W14" s="36" t="s">
        <v>67</v>
      </c>
      <c r="X14" s="36" t="s">
        <v>67</v>
      </c>
      <c r="Y14" s="19" t="s">
        <v>70</v>
      </c>
      <c r="Z14" s="23"/>
      <c r="AA14" s="36" t="s">
        <v>67</v>
      </c>
      <c r="AB14" s="36" t="s">
        <v>144</v>
      </c>
      <c r="AC14" s="36" t="s">
        <v>74</v>
      </c>
      <c r="AD14" s="36" t="s">
        <v>144</v>
      </c>
      <c r="AE14" s="36" t="s">
        <v>67</v>
      </c>
      <c r="AF14" s="19" t="s">
        <v>70</v>
      </c>
      <c r="AG14" s="23"/>
      <c r="AH14" s="36" t="s">
        <v>144</v>
      </c>
      <c r="AI14" s="36">
        <v>3</v>
      </c>
      <c r="AJ14" s="36">
        <v>0</v>
      </c>
      <c r="AK14" s="43">
        <f t="shared" si="0"/>
        <v>18</v>
      </c>
      <c r="AL14" s="36">
        <v>5</v>
      </c>
      <c r="AM14" s="36">
        <f t="shared" si="1"/>
        <v>26</v>
      </c>
      <c r="AN14" s="44">
        <f t="shared" si="2"/>
        <v>18</v>
      </c>
      <c r="AO14" s="45" t="s">
        <v>71</v>
      </c>
      <c r="AP14" s="45" t="s">
        <v>72</v>
      </c>
      <c r="AQ14" s="45" t="s">
        <v>12</v>
      </c>
      <c r="AR14" s="62">
        <v>18000</v>
      </c>
      <c r="AS14" s="45" t="s">
        <v>168</v>
      </c>
      <c r="AT14" s="49"/>
      <c r="AU14" s="36">
        <v>16000</v>
      </c>
      <c r="AV14" s="50">
        <f t="shared" si="6"/>
        <v>11076.923076923076</v>
      </c>
      <c r="AW14" s="51">
        <f t="shared" si="3"/>
        <v>11100</v>
      </c>
      <c r="AX14" s="50">
        <f t="shared" si="4"/>
        <v>23.076923076923777</v>
      </c>
      <c r="AY14" s="52">
        <f t="shared" si="5"/>
        <v>-11100</v>
      </c>
      <c r="AZ14" s="53">
        <v>46274</v>
      </c>
      <c r="BA14" s="54" t="s">
        <v>169</v>
      </c>
    </row>
    <row r="15" spans="1:53" ht="14.25" customHeight="1">
      <c r="A15" s="36">
        <v>13</v>
      </c>
      <c r="B15" s="37" t="s">
        <v>75</v>
      </c>
      <c r="C15" s="37" t="s">
        <v>72</v>
      </c>
      <c r="D15" s="19" t="s">
        <v>67</v>
      </c>
      <c r="E15" s="23"/>
      <c r="F15" s="36" t="s">
        <v>67</v>
      </c>
      <c r="G15" s="36" t="s">
        <v>67</v>
      </c>
      <c r="H15" s="36" t="s">
        <v>67</v>
      </c>
      <c r="I15" s="36" t="s">
        <v>67</v>
      </c>
      <c r="J15" s="36" t="s">
        <v>67</v>
      </c>
      <c r="K15" s="19" t="s">
        <v>73</v>
      </c>
      <c r="L15" s="23"/>
      <c r="M15" s="36" t="s">
        <v>67</v>
      </c>
      <c r="N15" s="36" t="s">
        <v>67</v>
      </c>
      <c r="O15" s="36" t="s">
        <v>67</v>
      </c>
      <c r="P15" s="36" t="s">
        <v>67</v>
      </c>
      <c r="Q15" s="36" t="s">
        <v>70</v>
      </c>
      <c r="R15" s="19" t="s">
        <v>67</v>
      </c>
      <c r="S15" s="23"/>
      <c r="T15" s="36" t="s">
        <v>67</v>
      </c>
      <c r="U15" s="36" t="s">
        <v>67</v>
      </c>
      <c r="V15" s="36" t="s">
        <v>67</v>
      </c>
      <c r="W15" s="36" t="s">
        <v>67</v>
      </c>
      <c r="X15" s="36" t="s">
        <v>67</v>
      </c>
      <c r="Y15" s="19" t="s">
        <v>70</v>
      </c>
      <c r="Z15" s="23"/>
      <c r="AA15" s="36" t="s">
        <v>67</v>
      </c>
      <c r="AB15" s="36" t="s">
        <v>67</v>
      </c>
      <c r="AC15" s="36" t="s">
        <v>74</v>
      </c>
      <c r="AD15" s="36" t="s">
        <v>67</v>
      </c>
      <c r="AE15" s="36" t="s">
        <v>67</v>
      </c>
      <c r="AF15" s="19" t="s">
        <v>70</v>
      </c>
      <c r="AG15" s="23"/>
      <c r="AH15" s="36" t="s">
        <v>67</v>
      </c>
      <c r="AI15" s="36">
        <v>3</v>
      </c>
      <c r="AJ15" s="36">
        <v>1</v>
      </c>
      <c r="AK15" s="43">
        <f t="shared" si="0"/>
        <v>22</v>
      </c>
      <c r="AL15" s="36">
        <v>1</v>
      </c>
      <c r="AM15" s="36">
        <f t="shared" si="1"/>
        <v>26</v>
      </c>
      <c r="AN15" s="44">
        <f t="shared" si="2"/>
        <v>23</v>
      </c>
      <c r="AO15" s="45" t="s">
        <v>75</v>
      </c>
      <c r="AP15" s="37" t="s">
        <v>72</v>
      </c>
      <c r="AQ15" s="46" t="s">
        <v>12</v>
      </c>
      <c r="AR15" s="47">
        <v>18000</v>
      </c>
      <c r="AS15" s="48" t="s">
        <v>168</v>
      </c>
      <c r="AT15" s="49"/>
      <c r="AU15" s="36">
        <v>14000</v>
      </c>
      <c r="AV15" s="50">
        <f t="shared" si="6"/>
        <v>12384.615384615385</v>
      </c>
      <c r="AW15" s="51">
        <f t="shared" si="3"/>
        <v>12400</v>
      </c>
      <c r="AX15" s="50">
        <f t="shared" si="4"/>
        <v>15.384615384615245</v>
      </c>
      <c r="AY15" s="52">
        <f t="shared" si="5"/>
        <v>-12400</v>
      </c>
      <c r="AZ15" s="53">
        <v>46274</v>
      </c>
      <c r="BA15" s="54" t="s">
        <v>6</v>
      </c>
    </row>
    <row r="16" spans="1:53" ht="14.25" customHeight="1">
      <c r="A16" s="36">
        <v>14</v>
      </c>
      <c r="B16" s="37" t="s">
        <v>170</v>
      </c>
      <c r="C16" s="37" t="s">
        <v>77</v>
      </c>
      <c r="D16" s="19" t="s">
        <v>67</v>
      </c>
      <c r="E16" s="23"/>
      <c r="F16" s="36" t="s">
        <v>67</v>
      </c>
      <c r="G16" s="36" t="s">
        <v>67</v>
      </c>
      <c r="H16" s="36" t="s">
        <v>67</v>
      </c>
      <c r="I16" s="36" t="s">
        <v>67</v>
      </c>
      <c r="J16" s="36" t="s">
        <v>67</v>
      </c>
      <c r="K16" s="19" t="s">
        <v>73</v>
      </c>
      <c r="L16" s="23"/>
      <c r="M16" s="36" t="s">
        <v>67</v>
      </c>
      <c r="N16" s="36" t="s">
        <v>67</v>
      </c>
      <c r="O16" s="36" t="s">
        <v>67</v>
      </c>
      <c r="P16" s="36" t="s">
        <v>67</v>
      </c>
      <c r="Q16" s="36" t="s">
        <v>67</v>
      </c>
      <c r="R16" s="19" t="s">
        <v>67</v>
      </c>
      <c r="S16" s="23"/>
      <c r="T16" s="36" t="s">
        <v>67</v>
      </c>
      <c r="U16" s="36" t="s">
        <v>67</v>
      </c>
      <c r="V16" s="36" t="s">
        <v>67</v>
      </c>
      <c r="W16" s="36" t="s">
        <v>67</v>
      </c>
      <c r="X16" s="36" t="s">
        <v>67</v>
      </c>
      <c r="Y16" s="19" t="s">
        <v>73</v>
      </c>
      <c r="Z16" s="23"/>
      <c r="AA16" s="36" t="s">
        <v>67</v>
      </c>
      <c r="AB16" s="36" t="s">
        <v>67</v>
      </c>
      <c r="AC16" s="36" t="s">
        <v>74</v>
      </c>
      <c r="AD16" s="36" t="s">
        <v>67</v>
      </c>
      <c r="AE16" s="36" t="s">
        <v>67</v>
      </c>
      <c r="AF16" s="19" t="s">
        <v>73</v>
      </c>
      <c r="AG16" s="23"/>
      <c r="AH16" s="36" t="s">
        <v>67</v>
      </c>
      <c r="AI16" s="36">
        <v>3</v>
      </c>
      <c r="AJ16" s="36">
        <v>3</v>
      </c>
      <c r="AK16" s="43">
        <f t="shared" si="0"/>
        <v>23</v>
      </c>
      <c r="AL16" s="36">
        <v>0</v>
      </c>
      <c r="AM16" s="36">
        <f t="shared" si="1"/>
        <v>26</v>
      </c>
      <c r="AN16" s="44">
        <f t="shared" si="2"/>
        <v>26</v>
      </c>
      <c r="AO16" s="45" t="s">
        <v>170</v>
      </c>
      <c r="AP16" s="37" t="s">
        <v>77</v>
      </c>
      <c r="AQ16" s="46" t="s">
        <v>8</v>
      </c>
      <c r="AR16" s="47">
        <v>22000</v>
      </c>
      <c r="AS16" s="48" t="s">
        <v>162</v>
      </c>
      <c r="AT16" s="49">
        <v>20000</v>
      </c>
      <c r="AU16" s="36">
        <v>16000</v>
      </c>
      <c r="AV16" s="50">
        <f t="shared" si="6"/>
        <v>16000</v>
      </c>
      <c r="AW16" s="51">
        <f t="shared" si="3"/>
        <v>16000</v>
      </c>
      <c r="AX16" s="50">
        <f t="shared" si="4"/>
        <v>0</v>
      </c>
      <c r="AY16" s="52">
        <f t="shared" si="5"/>
        <v>4000</v>
      </c>
      <c r="AZ16" s="53">
        <v>46274</v>
      </c>
      <c r="BA16" s="54" t="s">
        <v>8</v>
      </c>
    </row>
    <row r="17" spans="1:53" ht="14.25" customHeight="1">
      <c r="A17" s="36">
        <v>15</v>
      </c>
      <c r="B17" s="37" t="s">
        <v>131</v>
      </c>
      <c r="C17" s="37" t="s">
        <v>79</v>
      </c>
      <c r="D17" s="19" t="s">
        <v>67</v>
      </c>
      <c r="E17" s="23"/>
      <c r="F17" s="36" t="s">
        <v>67</v>
      </c>
      <c r="G17" s="36" t="s">
        <v>67</v>
      </c>
      <c r="H17" s="36" t="s">
        <v>67</v>
      </c>
      <c r="I17" s="36" t="s">
        <v>67</v>
      </c>
      <c r="J17" s="36" t="s">
        <v>67</v>
      </c>
      <c r="K17" s="19" t="s">
        <v>73</v>
      </c>
      <c r="L17" s="23"/>
      <c r="M17" s="36" t="s">
        <v>171</v>
      </c>
      <c r="N17" s="36" t="s">
        <v>67</v>
      </c>
      <c r="O17" s="36" t="s">
        <v>67</v>
      </c>
      <c r="P17" s="36" t="s">
        <v>67</v>
      </c>
      <c r="Q17" s="36" t="s">
        <v>67</v>
      </c>
      <c r="R17" s="19" t="s">
        <v>67</v>
      </c>
      <c r="S17" s="23"/>
      <c r="T17" s="36" t="s">
        <v>67</v>
      </c>
      <c r="U17" s="36" t="s">
        <v>67</v>
      </c>
      <c r="V17" s="36" t="s">
        <v>67</v>
      </c>
      <c r="W17" s="36" t="s">
        <v>67</v>
      </c>
      <c r="X17" s="36" t="s">
        <v>67</v>
      </c>
      <c r="Y17" s="19" t="s">
        <v>73</v>
      </c>
      <c r="Z17" s="23"/>
      <c r="AA17" s="36" t="s">
        <v>67</v>
      </c>
      <c r="AB17" s="36" t="s">
        <v>67</v>
      </c>
      <c r="AC17" s="36" t="s">
        <v>74</v>
      </c>
      <c r="AD17" s="36" t="s">
        <v>67</v>
      </c>
      <c r="AE17" s="36" t="s">
        <v>67</v>
      </c>
      <c r="AF17" s="19" t="s">
        <v>73</v>
      </c>
      <c r="AG17" s="23"/>
      <c r="AH17" s="36" t="s">
        <v>67</v>
      </c>
      <c r="AI17" s="36">
        <v>3</v>
      </c>
      <c r="AJ17" s="36">
        <v>3</v>
      </c>
      <c r="AK17" s="43">
        <f t="shared" si="0"/>
        <v>22.5</v>
      </c>
      <c r="AL17" s="36">
        <v>0.5</v>
      </c>
      <c r="AM17" s="36">
        <f t="shared" si="1"/>
        <v>26</v>
      </c>
      <c r="AN17" s="44">
        <f t="shared" si="2"/>
        <v>25.5</v>
      </c>
      <c r="AO17" s="45" t="s">
        <v>131</v>
      </c>
      <c r="AP17" s="37" t="s">
        <v>79</v>
      </c>
      <c r="AQ17" s="46" t="s">
        <v>8</v>
      </c>
      <c r="AR17" s="47">
        <v>22000</v>
      </c>
      <c r="AS17" s="48" t="s">
        <v>167</v>
      </c>
      <c r="AT17" s="49">
        <v>21645</v>
      </c>
      <c r="AU17" s="36">
        <v>15500</v>
      </c>
      <c r="AV17" s="50">
        <f t="shared" si="6"/>
        <v>15201.923076923078</v>
      </c>
      <c r="AW17" s="51">
        <f t="shared" si="3"/>
        <v>15250</v>
      </c>
      <c r="AX17" s="50">
        <f t="shared" si="4"/>
        <v>48.076923076921958</v>
      </c>
      <c r="AY17" s="52">
        <f t="shared" si="5"/>
        <v>6395</v>
      </c>
      <c r="AZ17" s="53">
        <v>46273</v>
      </c>
      <c r="BA17" s="54" t="s">
        <v>8</v>
      </c>
    </row>
    <row r="18" spans="1:53" ht="14.25" customHeight="1">
      <c r="A18" s="36">
        <v>16</v>
      </c>
      <c r="B18" s="37" t="s">
        <v>81</v>
      </c>
      <c r="C18" s="37" t="s">
        <v>79</v>
      </c>
      <c r="D18" s="19" t="s">
        <v>67</v>
      </c>
      <c r="E18" s="23"/>
      <c r="F18" s="36" t="s">
        <v>67</v>
      </c>
      <c r="G18" s="36" t="s">
        <v>67</v>
      </c>
      <c r="H18" s="36" t="s">
        <v>67</v>
      </c>
      <c r="I18" s="36" t="s">
        <v>67</v>
      </c>
      <c r="J18" s="36" t="s">
        <v>67</v>
      </c>
      <c r="K18" s="19" t="s">
        <v>73</v>
      </c>
      <c r="L18" s="23"/>
      <c r="M18" s="36" t="s">
        <v>67</v>
      </c>
      <c r="N18" s="36" t="s">
        <v>70</v>
      </c>
      <c r="O18" s="36" t="s">
        <v>67</v>
      </c>
      <c r="P18" s="36" t="s">
        <v>67</v>
      </c>
      <c r="Q18" s="36" t="s">
        <v>67</v>
      </c>
      <c r="R18" s="19" t="s">
        <v>67</v>
      </c>
      <c r="S18" s="23"/>
      <c r="T18" s="36" t="s">
        <v>67</v>
      </c>
      <c r="U18" s="36" t="s">
        <v>67</v>
      </c>
      <c r="V18" s="36" t="s">
        <v>67</v>
      </c>
      <c r="W18" s="36" t="s">
        <v>67</v>
      </c>
      <c r="X18" s="36" t="s">
        <v>67</v>
      </c>
      <c r="Y18" s="19" t="s">
        <v>70</v>
      </c>
      <c r="Z18" s="23"/>
      <c r="AA18" s="36" t="s">
        <v>67</v>
      </c>
      <c r="AB18" s="36" t="s">
        <v>67</v>
      </c>
      <c r="AC18" s="36" t="s">
        <v>74</v>
      </c>
      <c r="AD18" s="36" t="s">
        <v>67</v>
      </c>
      <c r="AE18" s="36" t="s">
        <v>67</v>
      </c>
      <c r="AF18" s="19" t="s">
        <v>70</v>
      </c>
      <c r="AG18" s="23"/>
      <c r="AH18" s="36" t="s">
        <v>70</v>
      </c>
      <c r="AI18" s="36">
        <v>3</v>
      </c>
      <c r="AJ18" s="36">
        <v>1</v>
      </c>
      <c r="AK18" s="43">
        <f t="shared" si="0"/>
        <v>21</v>
      </c>
      <c r="AL18" s="36">
        <v>2</v>
      </c>
      <c r="AM18" s="36">
        <f t="shared" si="1"/>
        <v>26</v>
      </c>
      <c r="AN18" s="44">
        <f t="shared" si="2"/>
        <v>22</v>
      </c>
      <c r="AO18" s="45" t="s">
        <v>81</v>
      </c>
      <c r="AP18" s="37" t="s">
        <v>79</v>
      </c>
      <c r="AQ18" s="46" t="s">
        <v>8</v>
      </c>
      <c r="AR18" s="47">
        <v>22000</v>
      </c>
      <c r="AS18" s="48" t="s">
        <v>167</v>
      </c>
      <c r="AT18" s="49">
        <v>20580</v>
      </c>
      <c r="AU18" s="36">
        <v>14500</v>
      </c>
      <c r="AV18" s="50">
        <f t="shared" si="6"/>
        <v>12269.23076923077</v>
      </c>
      <c r="AW18" s="51">
        <f t="shared" si="3"/>
        <v>12300</v>
      </c>
      <c r="AX18" s="50">
        <f t="shared" si="4"/>
        <v>30.769230769230489</v>
      </c>
      <c r="AY18" s="52">
        <f t="shared" si="5"/>
        <v>8280</v>
      </c>
      <c r="AZ18" s="53">
        <v>46273</v>
      </c>
      <c r="BA18" s="54" t="s">
        <v>8</v>
      </c>
    </row>
    <row r="19" spans="1:53" ht="14.25" customHeight="1">
      <c r="A19" s="36">
        <v>17</v>
      </c>
      <c r="B19" s="37" t="s">
        <v>83</v>
      </c>
      <c r="C19" s="37" t="s">
        <v>79</v>
      </c>
      <c r="D19" s="19" t="s">
        <v>67</v>
      </c>
      <c r="E19" s="23"/>
      <c r="F19" s="36" t="s">
        <v>67</v>
      </c>
      <c r="G19" s="36" t="s">
        <v>67</v>
      </c>
      <c r="H19" s="36" t="s">
        <v>67</v>
      </c>
      <c r="I19" s="36" t="s">
        <v>67</v>
      </c>
      <c r="J19" s="36" t="s">
        <v>67</v>
      </c>
      <c r="K19" s="19" t="s">
        <v>73</v>
      </c>
      <c r="L19" s="23"/>
      <c r="M19" s="36" t="s">
        <v>67</v>
      </c>
      <c r="N19" s="36" t="s">
        <v>67</v>
      </c>
      <c r="O19" s="36" t="s">
        <v>67</v>
      </c>
      <c r="P19" s="36" t="s">
        <v>67</v>
      </c>
      <c r="Q19" s="36" t="s">
        <v>67</v>
      </c>
      <c r="R19" s="19" t="s">
        <v>67</v>
      </c>
      <c r="S19" s="23"/>
      <c r="T19" s="36" t="s">
        <v>67</v>
      </c>
      <c r="U19" s="36" t="s">
        <v>67</v>
      </c>
      <c r="V19" s="36" t="s">
        <v>67</v>
      </c>
      <c r="W19" s="36" t="s">
        <v>67</v>
      </c>
      <c r="X19" s="36" t="s">
        <v>67</v>
      </c>
      <c r="Y19" s="19" t="s">
        <v>70</v>
      </c>
      <c r="Z19" s="23"/>
      <c r="AA19" s="36" t="s">
        <v>67</v>
      </c>
      <c r="AB19" s="36" t="s">
        <v>67</v>
      </c>
      <c r="AC19" s="36" t="s">
        <v>74</v>
      </c>
      <c r="AD19" s="36" t="s">
        <v>171</v>
      </c>
      <c r="AE19" s="36" t="s">
        <v>67</v>
      </c>
      <c r="AF19" s="19" t="s">
        <v>73</v>
      </c>
      <c r="AG19" s="23"/>
      <c r="AH19" s="36" t="s">
        <v>67</v>
      </c>
      <c r="AI19" s="36">
        <v>3</v>
      </c>
      <c r="AJ19" s="36">
        <v>2</v>
      </c>
      <c r="AK19" s="43">
        <f t="shared" si="0"/>
        <v>22.5</v>
      </c>
      <c r="AL19" s="36">
        <v>0.5</v>
      </c>
      <c r="AM19" s="36">
        <f t="shared" si="1"/>
        <v>26</v>
      </c>
      <c r="AN19" s="44">
        <f t="shared" si="2"/>
        <v>24.5</v>
      </c>
      <c r="AO19" s="45" t="s">
        <v>83</v>
      </c>
      <c r="AP19" s="37" t="s">
        <v>79</v>
      </c>
      <c r="AQ19" s="46" t="s">
        <v>8</v>
      </c>
      <c r="AR19" s="47">
        <v>22000</v>
      </c>
      <c r="AS19" s="48" t="s">
        <v>167</v>
      </c>
      <c r="AT19" s="49">
        <v>21645</v>
      </c>
      <c r="AU19" s="36">
        <v>15000</v>
      </c>
      <c r="AV19" s="50">
        <f t="shared" si="6"/>
        <v>14134.615384615385</v>
      </c>
      <c r="AW19" s="51">
        <f t="shared" si="3"/>
        <v>14150</v>
      </c>
      <c r="AX19" s="50">
        <f t="shared" si="4"/>
        <v>15.384615384615245</v>
      </c>
      <c r="AY19" s="52">
        <f t="shared" si="5"/>
        <v>7495</v>
      </c>
      <c r="AZ19" s="53">
        <v>46273</v>
      </c>
      <c r="BA19" s="54" t="s">
        <v>8</v>
      </c>
    </row>
    <row r="20" spans="1:53" ht="14.25" customHeight="1">
      <c r="A20" s="36">
        <v>18</v>
      </c>
      <c r="B20" s="37" t="s">
        <v>173</v>
      </c>
      <c r="C20" s="37" t="s">
        <v>79</v>
      </c>
      <c r="D20" s="19" t="s">
        <v>67</v>
      </c>
      <c r="E20" s="23"/>
      <c r="F20" s="36" t="s">
        <v>67</v>
      </c>
      <c r="G20" s="36" t="s">
        <v>67</v>
      </c>
      <c r="H20" s="36" t="s">
        <v>67</v>
      </c>
      <c r="I20" s="36" t="s">
        <v>67</v>
      </c>
      <c r="J20" s="36" t="s">
        <v>67</v>
      </c>
      <c r="K20" s="19" t="s">
        <v>70</v>
      </c>
      <c r="L20" s="23"/>
      <c r="M20" s="36" t="s">
        <v>67</v>
      </c>
      <c r="N20" s="36" t="s">
        <v>67</v>
      </c>
      <c r="O20" s="36" t="s">
        <v>67</v>
      </c>
      <c r="P20" s="36" t="s">
        <v>70</v>
      </c>
      <c r="Q20" s="36" t="s">
        <v>67</v>
      </c>
      <c r="R20" s="19" t="s">
        <v>67</v>
      </c>
      <c r="S20" s="23"/>
      <c r="T20" s="36" t="s">
        <v>67</v>
      </c>
      <c r="U20" s="36" t="s">
        <v>67</v>
      </c>
      <c r="V20" s="36" t="s">
        <v>144</v>
      </c>
      <c r="W20" s="36" t="s">
        <v>67</v>
      </c>
      <c r="X20" s="36" t="s">
        <v>67</v>
      </c>
      <c r="Y20" s="19" t="s">
        <v>70</v>
      </c>
      <c r="Z20" s="23"/>
      <c r="AA20" s="36" t="s">
        <v>67</v>
      </c>
      <c r="AB20" s="36" t="s">
        <v>67</v>
      </c>
      <c r="AC20" s="36" t="s">
        <v>74</v>
      </c>
      <c r="AD20" s="36" t="s">
        <v>67</v>
      </c>
      <c r="AE20" s="36" t="s">
        <v>67</v>
      </c>
      <c r="AF20" s="19" t="s">
        <v>73</v>
      </c>
      <c r="AG20" s="23"/>
      <c r="AH20" s="36" t="s">
        <v>67</v>
      </c>
      <c r="AI20" s="36">
        <v>3</v>
      </c>
      <c r="AJ20" s="36">
        <v>1</v>
      </c>
      <c r="AK20" s="43">
        <f t="shared" si="0"/>
        <v>21</v>
      </c>
      <c r="AL20" s="36">
        <v>2</v>
      </c>
      <c r="AM20" s="36">
        <f t="shared" si="1"/>
        <v>26</v>
      </c>
      <c r="AN20" s="44">
        <f t="shared" si="2"/>
        <v>22</v>
      </c>
      <c r="AO20" s="45" t="s">
        <v>173</v>
      </c>
      <c r="AP20" s="37" t="s">
        <v>79</v>
      </c>
      <c r="AQ20" s="46" t="s">
        <v>8</v>
      </c>
      <c r="AR20" s="47">
        <v>22000</v>
      </c>
      <c r="AS20" s="48" t="s">
        <v>167</v>
      </c>
      <c r="AT20" s="49">
        <v>21290</v>
      </c>
      <c r="AU20" s="36">
        <v>14000</v>
      </c>
      <c r="AV20" s="50">
        <f t="shared" si="6"/>
        <v>11846.153846153846</v>
      </c>
      <c r="AW20" s="51">
        <f t="shared" si="3"/>
        <v>11850</v>
      </c>
      <c r="AX20" s="50">
        <f t="shared" si="4"/>
        <v>3.8461538461542659</v>
      </c>
      <c r="AY20" s="52">
        <f t="shared" si="5"/>
        <v>9440</v>
      </c>
      <c r="AZ20" s="53">
        <v>46273</v>
      </c>
      <c r="BA20" s="54" t="s">
        <v>8</v>
      </c>
    </row>
    <row r="21" spans="1:53" ht="14.25" customHeight="1">
      <c r="A21" s="36">
        <v>19</v>
      </c>
      <c r="B21" s="37" t="s">
        <v>85</v>
      </c>
      <c r="C21" s="37" t="s">
        <v>86</v>
      </c>
      <c r="D21" s="19" t="s">
        <v>67</v>
      </c>
      <c r="E21" s="23"/>
      <c r="F21" s="36" t="s">
        <v>67</v>
      </c>
      <c r="G21" s="36" t="s">
        <v>67</v>
      </c>
      <c r="H21" s="36" t="s">
        <v>67</v>
      </c>
      <c r="I21" s="36" t="s">
        <v>67</v>
      </c>
      <c r="J21" s="36" t="s">
        <v>67</v>
      </c>
      <c r="K21" s="19" t="s">
        <v>73</v>
      </c>
      <c r="L21" s="23"/>
      <c r="M21" s="36" t="s">
        <v>67</v>
      </c>
      <c r="N21" s="36" t="s">
        <v>67</v>
      </c>
      <c r="O21" s="36" t="s">
        <v>67</v>
      </c>
      <c r="P21" s="36" t="s">
        <v>67</v>
      </c>
      <c r="Q21" s="36" t="s">
        <v>67</v>
      </c>
      <c r="R21" s="19" t="s">
        <v>67</v>
      </c>
      <c r="S21" s="23"/>
      <c r="T21" s="36" t="s">
        <v>67</v>
      </c>
      <c r="U21" s="36" t="s">
        <v>67</v>
      </c>
      <c r="V21" s="36" t="s">
        <v>67</v>
      </c>
      <c r="W21" s="36" t="s">
        <v>67</v>
      </c>
      <c r="X21" s="36" t="s">
        <v>67</v>
      </c>
      <c r="Y21" s="19" t="s">
        <v>70</v>
      </c>
      <c r="Z21" s="23"/>
      <c r="AA21" s="36" t="s">
        <v>67</v>
      </c>
      <c r="AB21" s="36" t="s">
        <v>67</v>
      </c>
      <c r="AC21" s="36" t="s">
        <v>74</v>
      </c>
      <c r="AD21" s="36" t="s">
        <v>67</v>
      </c>
      <c r="AE21" s="36" t="s">
        <v>67</v>
      </c>
      <c r="AF21" s="19" t="s">
        <v>73</v>
      </c>
      <c r="AG21" s="23"/>
      <c r="AH21" s="36" t="s">
        <v>67</v>
      </c>
      <c r="AI21" s="36">
        <v>3</v>
      </c>
      <c r="AJ21" s="36">
        <v>2</v>
      </c>
      <c r="AK21" s="43">
        <f t="shared" si="0"/>
        <v>23</v>
      </c>
      <c r="AL21" s="36">
        <v>0</v>
      </c>
      <c r="AM21" s="36">
        <f t="shared" si="1"/>
        <v>26</v>
      </c>
      <c r="AN21" s="44">
        <f t="shared" si="2"/>
        <v>25</v>
      </c>
      <c r="AO21" s="45" t="s">
        <v>85</v>
      </c>
      <c r="AP21" s="37" t="s">
        <v>86</v>
      </c>
      <c r="AQ21" s="46" t="s">
        <v>6</v>
      </c>
      <c r="AR21" s="47">
        <v>22000</v>
      </c>
      <c r="AS21" s="48" t="s">
        <v>182</v>
      </c>
      <c r="AT21" s="49">
        <v>22000</v>
      </c>
      <c r="AU21" s="36">
        <v>15000</v>
      </c>
      <c r="AV21" s="50">
        <f t="shared" si="6"/>
        <v>14423.076923076922</v>
      </c>
      <c r="AW21" s="51">
        <f t="shared" si="3"/>
        <v>14450</v>
      </c>
      <c r="AX21" s="50">
        <f t="shared" si="4"/>
        <v>26.923076923078042</v>
      </c>
      <c r="AY21" s="52">
        <f t="shared" si="5"/>
        <v>7550</v>
      </c>
      <c r="AZ21" s="53">
        <v>46276</v>
      </c>
      <c r="BA21" s="54" t="s">
        <v>6</v>
      </c>
    </row>
    <row r="22" spans="1:53" ht="14.25" customHeight="1">
      <c r="A22" s="36">
        <v>20</v>
      </c>
      <c r="B22" s="37" t="s">
        <v>183</v>
      </c>
      <c r="C22" s="37" t="s">
        <v>184</v>
      </c>
      <c r="D22" s="19" t="s">
        <v>67</v>
      </c>
      <c r="E22" s="23"/>
      <c r="F22" s="36" t="s">
        <v>67</v>
      </c>
      <c r="G22" s="36" t="s">
        <v>67</v>
      </c>
      <c r="H22" s="36" t="s">
        <v>67</v>
      </c>
      <c r="I22" s="36" t="s">
        <v>67</v>
      </c>
      <c r="J22" s="36" t="s">
        <v>67</v>
      </c>
      <c r="K22" s="19" t="s">
        <v>73</v>
      </c>
      <c r="L22" s="23"/>
      <c r="M22" s="36" t="s">
        <v>67</v>
      </c>
      <c r="N22" s="36" t="s">
        <v>67</v>
      </c>
      <c r="O22" s="36" t="s">
        <v>67</v>
      </c>
      <c r="P22" s="36" t="s">
        <v>67</v>
      </c>
      <c r="Q22" s="36" t="s">
        <v>67</v>
      </c>
      <c r="R22" s="19" t="s">
        <v>67</v>
      </c>
      <c r="S22" s="23"/>
      <c r="T22" s="36" t="s">
        <v>67</v>
      </c>
      <c r="U22" s="36" t="s">
        <v>67</v>
      </c>
      <c r="V22" s="36" t="s">
        <v>67</v>
      </c>
      <c r="W22" s="36" t="s">
        <v>67</v>
      </c>
      <c r="X22" s="36" t="s">
        <v>67</v>
      </c>
      <c r="Y22" s="19" t="s">
        <v>73</v>
      </c>
      <c r="Z22" s="23"/>
      <c r="AA22" s="36" t="s">
        <v>67</v>
      </c>
      <c r="AB22" s="36" t="s">
        <v>67</v>
      </c>
      <c r="AC22" s="36" t="s">
        <v>74</v>
      </c>
      <c r="AD22" s="36" t="s">
        <v>67</v>
      </c>
      <c r="AE22" s="36" t="s">
        <v>67</v>
      </c>
      <c r="AF22" s="19" t="s">
        <v>70</v>
      </c>
      <c r="AG22" s="23"/>
      <c r="AH22" s="36" t="s">
        <v>67</v>
      </c>
      <c r="AI22" s="36">
        <v>3</v>
      </c>
      <c r="AJ22" s="36">
        <v>2</v>
      </c>
      <c r="AK22" s="43">
        <f t="shared" si="0"/>
        <v>23</v>
      </c>
      <c r="AL22" s="36">
        <v>0</v>
      </c>
      <c r="AM22" s="36">
        <f t="shared" si="1"/>
        <v>26</v>
      </c>
      <c r="AN22" s="44">
        <f t="shared" si="2"/>
        <v>25</v>
      </c>
      <c r="AO22" s="45" t="s">
        <v>87</v>
      </c>
      <c r="AP22" s="37" t="s">
        <v>184</v>
      </c>
      <c r="AQ22" s="46" t="s">
        <v>13</v>
      </c>
      <c r="AR22" s="47">
        <v>25000</v>
      </c>
      <c r="AS22" s="48" t="s">
        <v>162</v>
      </c>
      <c r="AT22" s="49">
        <v>25000</v>
      </c>
      <c r="AU22" s="36">
        <v>22000</v>
      </c>
      <c r="AV22" s="50">
        <f t="shared" si="6"/>
        <v>21153.846153846156</v>
      </c>
      <c r="AW22" s="51">
        <f t="shared" si="3"/>
        <v>21200</v>
      </c>
      <c r="AX22" s="50">
        <f t="shared" si="4"/>
        <v>46.153846153843915</v>
      </c>
      <c r="AY22" s="52">
        <f t="shared" si="5"/>
        <v>3800</v>
      </c>
      <c r="AZ22" s="53">
        <v>46275</v>
      </c>
      <c r="BA22" s="54" t="s">
        <v>185</v>
      </c>
    </row>
    <row r="23" spans="1:53" ht="14.25" customHeight="1">
      <c r="A23" s="36">
        <v>21</v>
      </c>
      <c r="B23" s="37" t="s">
        <v>88</v>
      </c>
      <c r="C23" s="37" t="s">
        <v>89</v>
      </c>
      <c r="D23" s="19" t="s">
        <v>67</v>
      </c>
      <c r="E23" s="23"/>
      <c r="F23" s="36" t="s">
        <v>67</v>
      </c>
      <c r="G23" s="36" t="s">
        <v>67</v>
      </c>
      <c r="H23" s="36" t="s">
        <v>67</v>
      </c>
      <c r="I23" s="36" t="s">
        <v>67</v>
      </c>
      <c r="J23" s="36" t="s">
        <v>67</v>
      </c>
      <c r="K23" s="19" t="s">
        <v>73</v>
      </c>
      <c r="L23" s="23"/>
      <c r="M23" s="36" t="s">
        <v>67</v>
      </c>
      <c r="N23" s="36" t="s">
        <v>67</v>
      </c>
      <c r="O23" s="36" t="s">
        <v>67</v>
      </c>
      <c r="P23" s="36" t="s">
        <v>144</v>
      </c>
      <c r="Q23" s="36" t="s">
        <v>67</v>
      </c>
      <c r="R23" s="19" t="s">
        <v>67</v>
      </c>
      <c r="S23" s="23"/>
      <c r="T23" s="36" t="s">
        <v>67</v>
      </c>
      <c r="U23" s="36" t="s">
        <v>67</v>
      </c>
      <c r="V23" s="36" t="s">
        <v>67</v>
      </c>
      <c r="W23" s="36" t="s">
        <v>67</v>
      </c>
      <c r="X23" s="36" t="s">
        <v>70</v>
      </c>
      <c r="Y23" s="19" t="s">
        <v>73</v>
      </c>
      <c r="Z23" s="23"/>
      <c r="AA23" s="36" t="s">
        <v>67</v>
      </c>
      <c r="AB23" s="36" t="s">
        <v>67</v>
      </c>
      <c r="AC23" s="36" t="s">
        <v>74</v>
      </c>
      <c r="AD23" s="36" t="s">
        <v>67</v>
      </c>
      <c r="AE23" s="36" t="s">
        <v>67</v>
      </c>
      <c r="AF23" s="19" t="s">
        <v>73</v>
      </c>
      <c r="AG23" s="23"/>
      <c r="AH23" s="36" t="s">
        <v>67</v>
      </c>
      <c r="AI23" s="36">
        <v>3</v>
      </c>
      <c r="AJ23" s="36">
        <v>3</v>
      </c>
      <c r="AK23" s="43">
        <f t="shared" si="0"/>
        <v>21</v>
      </c>
      <c r="AL23" s="36">
        <v>2</v>
      </c>
      <c r="AM23" s="36">
        <f t="shared" si="1"/>
        <v>26</v>
      </c>
      <c r="AN23" s="44">
        <f t="shared" si="2"/>
        <v>24</v>
      </c>
      <c r="AO23" s="45" t="s">
        <v>88</v>
      </c>
      <c r="AP23" s="37" t="s">
        <v>186</v>
      </c>
      <c r="AQ23" s="46" t="s">
        <v>8</v>
      </c>
      <c r="AR23" s="47">
        <v>22000</v>
      </c>
      <c r="AS23" s="48" t="s">
        <v>187</v>
      </c>
      <c r="AT23" s="49">
        <v>21291</v>
      </c>
      <c r="AU23" s="36">
        <v>16500</v>
      </c>
      <c r="AV23" s="50">
        <f t="shared" si="6"/>
        <v>15230.76923076923</v>
      </c>
      <c r="AW23" s="51">
        <f t="shared" si="3"/>
        <v>15250</v>
      </c>
      <c r="AX23" s="50">
        <f t="shared" si="4"/>
        <v>19.230769230769511</v>
      </c>
      <c r="AY23" s="52">
        <f t="shared" si="5"/>
        <v>6041</v>
      </c>
      <c r="AZ23" s="53">
        <v>46275</v>
      </c>
      <c r="BA23" s="54" t="s">
        <v>185</v>
      </c>
    </row>
    <row r="24" spans="1:53" ht="14.25" customHeight="1">
      <c r="A24" s="36">
        <v>22</v>
      </c>
      <c r="B24" s="37" t="s">
        <v>90</v>
      </c>
      <c r="C24" s="37" t="s">
        <v>91</v>
      </c>
      <c r="D24" s="19" t="s">
        <v>70</v>
      </c>
      <c r="E24" s="23"/>
      <c r="F24" s="36" t="s">
        <v>70</v>
      </c>
      <c r="G24" s="36" t="s">
        <v>67</v>
      </c>
      <c r="H24" s="36" t="s">
        <v>67</v>
      </c>
      <c r="I24" s="36" t="s">
        <v>67</v>
      </c>
      <c r="J24" s="36" t="s">
        <v>144</v>
      </c>
      <c r="K24" s="19" t="s">
        <v>70</v>
      </c>
      <c r="L24" s="23"/>
      <c r="M24" s="36" t="s">
        <v>70</v>
      </c>
      <c r="N24" s="36" t="s">
        <v>70</v>
      </c>
      <c r="O24" s="36" t="s">
        <v>70</v>
      </c>
      <c r="P24" s="36" t="s">
        <v>70</v>
      </c>
      <c r="Q24" s="36" t="s">
        <v>70</v>
      </c>
      <c r="R24" s="19" t="s">
        <v>70</v>
      </c>
      <c r="S24" s="23"/>
      <c r="T24" s="36" t="s">
        <v>70</v>
      </c>
      <c r="U24" s="36" t="s">
        <v>70</v>
      </c>
      <c r="V24" s="36" t="s">
        <v>70</v>
      </c>
      <c r="W24" s="36" t="s">
        <v>70</v>
      </c>
      <c r="X24" s="36" t="s">
        <v>70</v>
      </c>
      <c r="Y24" s="19" t="s">
        <v>70</v>
      </c>
      <c r="Z24" s="23"/>
      <c r="AA24" s="36" t="s">
        <v>70</v>
      </c>
      <c r="AB24" s="36" t="s">
        <v>70</v>
      </c>
      <c r="AC24" s="36" t="s">
        <v>70</v>
      </c>
      <c r="AD24" s="36" t="s">
        <v>70</v>
      </c>
      <c r="AE24" s="36" t="s">
        <v>70</v>
      </c>
      <c r="AF24" s="19" t="s">
        <v>70</v>
      </c>
      <c r="AG24" s="23"/>
      <c r="AH24" s="36" t="s">
        <v>70</v>
      </c>
      <c r="AI24" s="36">
        <v>3</v>
      </c>
      <c r="AJ24" s="36">
        <v>0</v>
      </c>
      <c r="AK24" s="43">
        <f t="shared" si="0"/>
        <v>3</v>
      </c>
      <c r="AL24" s="36">
        <v>18</v>
      </c>
      <c r="AM24" s="36">
        <v>26</v>
      </c>
      <c r="AN24" s="44">
        <f t="shared" si="2"/>
        <v>3</v>
      </c>
      <c r="AO24" s="45" t="s">
        <v>90</v>
      </c>
      <c r="AP24" s="37" t="s">
        <v>91</v>
      </c>
      <c r="AQ24" s="46" t="s">
        <v>8</v>
      </c>
      <c r="AR24" s="47">
        <v>22000</v>
      </c>
      <c r="AS24" s="63">
        <v>46270</v>
      </c>
      <c r="AT24" s="49">
        <v>2838</v>
      </c>
      <c r="AU24" s="36">
        <v>14000</v>
      </c>
      <c r="AV24" s="50">
        <f t="shared" si="6"/>
        <v>1615.3846153846152</v>
      </c>
      <c r="AW24" s="51">
        <f t="shared" si="3"/>
        <v>1650</v>
      </c>
      <c r="AX24" s="50">
        <f t="shared" si="4"/>
        <v>34.615384615384755</v>
      </c>
      <c r="AY24" s="52">
        <f t="shared" si="5"/>
        <v>1188</v>
      </c>
      <c r="AZ24" s="53">
        <v>46275</v>
      </c>
      <c r="BA24" s="54" t="s">
        <v>185</v>
      </c>
    </row>
    <row r="25" spans="1:53" ht="14.25" customHeight="1">
      <c r="A25" s="36">
        <v>23</v>
      </c>
      <c r="B25" s="37" t="s">
        <v>188</v>
      </c>
      <c r="C25" s="37" t="s">
        <v>92</v>
      </c>
      <c r="D25" s="19" t="s">
        <v>67</v>
      </c>
      <c r="E25" s="23"/>
      <c r="F25" s="36" t="s">
        <v>67</v>
      </c>
      <c r="G25" s="36" t="s">
        <v>67</v>
      </c>
      <c r="H25" s="36" t="s">
        <v>67</v>
      </c>
      <c r="I25" s="36" t="s">
        <v>67</v>
      </c>
      <c r="J25" s="36" t="s">
        <v>67</v>
      </c>
      <c r="K25" s="19" t="s">
        <v>73</v>
      </c>
      <c r="L25" s="23"/>
      <c r="M25" s="36" t="s">
        <v>67</v>
      </c>
      <c r="N25" s="36" t="s">
        <v>67</v>
      </c>
      <c r="O25" s="36" t="s">
        <v>144</v>
      </c>
      <c r="P25" s="36" t="s">
        <v>67</v>
      </c>
      <c r="Q25" s="36" t="s">
        <v>67</v>
      </c>
      <c r="R25" s="19" t="s">
        <v>67</v>
      </c>
      <c r="S25" s="23"/>
      <c r="T25" s="36" t="s">
        <v>67</v>
      </c>
      <c r="U25" s="36" t="s">
        <v>67</v>
      </c>
      <c r="V25" s="36" t="s">
        <v>67</v>
      </c>
      <c r="W25" s="36" t="s">
        <v>67</v>
      </c>
      <c r="X25" s="36" t="s">
        <v>67</v>
      </c>
      <c r="Y25" s="19" t="s">
        <v>70</v>
      </c>
      <c r="Z25" s="23"/>
      <c r="AA25" s="36" t="s">
        <v>67</v>
      </c>
      <c r="AB25" s="36" t="s">
        <v>67</v>
      </c>
      <c r="AC25" s="36" t="s">
        <v>67</v>
      </c>
      <c r="AD25" s="36" t="s">
        <v>67</v>
      </c>
      <c r="AE25" s="36" t="s">
        <v>67</v>
      </c>
      <c r="AF25" s="19" t="s">
        <v>73</v>
      </c>
      <c r="AG25" s="23"/>
      <c r="AH25" s="36" t="s">
        <v>67</v>
      </c>
      <c r="AI25" s="36">
        <v>3</v>
      </c>
      <c r="AJ25" s="36">
        <v>2</v>
      </c>
      <c r="AK25" s="43">
        <f t="shared" si="0"/>
        <v>22</v>
      </c>
      <c r="AL25" s="36">
        <v>1</v>
      </c>
      <c r="AM25" s="36">
        <f t="shared" ref="AM25:AM32" si="7">SUM(AI25,AK25,AL25)</f>
        <v>26</v>
      </c>
      <c r="AN25" s="44">
        <f t="shared" si="2"/>
        <v>24</v>
      </c>
      <c r="AO25" s="45" t="s">
        <v>189</v>
      </c>
      <c r="AP25" s="37" t="s">
        <v>92</v>
      </c>
      <c r="AQ25" s="46" t="s">
        <v>190</v>
      </c>
      <c r="AR25" s="47">
        <v>23000</v>
      </c>
      <c r="AS25" s="48" t="s">
        <v>148</v>
      </c>
      <c r="AT25" s="49">
        <v>23000</v>
      </c>
      <c r="AU25" s="36">
        <v>14000</v>
      </c>
      <c r="AV25" s="50">
        <f t="shared" si="6"/>
        <v>12923.076923076922</v>
      </c>
      <c r="AW25" s="51">
        <f t="shared" si="3"/>
        <v>12950</v>
      </c>
      <c r="AX25" s="50">
        <f t="shared" si="4"/>
        <v>26.923076923078042</v>
      </c>
      <c r="AY25" s="52">
        <f t="shared" si="5"/>
        <v>10050</v>
      </c>
      <c r="AZ25" s="53">
        <v>46273</v>
      </c>
      <c r="BA25" s="54" t="s">
        <v>191</v>
      </c>
    </row>
    <row r="26" spans="1:53" ht="14.25" customHeight="1">
      <c r="A26" s="36">
        <v>24</v>
      </c>
      <c r="B26" s="37" t="s">
        <v>93</v>
      </c>
      <c r="C26" s="37" t="s">
        <v>94</v>
      </c>
      <c r="D26" s="19" t="s">
        <v>67</v>
      </c>
      <c r="E26" s="23"/>
      <c r="F26" s="36" t="s">
        <v>67</v>
      </c>
      <c r="G26" s="36" t="s">
        <v>67</v>
      </c>
      <c r="H26" s="36" t="s">
        <v>67</v>
      </c>
      <c r="I26" s="36" t="s">
        <v>67</v>
      </c>
      <c r="J26" s="36" t="s">
        <v>67</v>
      </c>
      <c r="K26" s="19" t="s">
        <v>73</v>
      </c>
      <c r="L26" s="23"/>
      <c r="M26" s="36" t="s">
        <v>67</v>
      </c>
      <c r="N26" s="36" t="s">
        <v>67</v>
      </c>
      <c r="O26" s="36" t="s">
        <v>67</v>
      </c>
      <c r="P26" s="36" t="s">
        <v>67</v>
      </c>
      <c r="Q26" s="36" t="s">
        <v>67</v>
      </c>
      <c r="R26" s="19" t="s">
        <v>67</v>
      </c>
      <c r="S26" s="23"/>
      <c r="T26" s="36" t="s">
        <v>67</v>
      </c>
      <c r="U26" s="36" t="s">
        <v>67</v>
      </c>
      <c r="V26" s="36" t="s">
        <v>67</v>
      </c>
      <c r="W26" s="36" t="s">
        <v>67</v>
      </c>
      <c r="X26" s="36" t="s">
        <v>67</v>
      </c>
      <c r="Y26" s="19" t="s">
        <v>70</v>
      </c>
      <c r="Z26" s="23"/>
      <c r="AA26" s="36" t="s">
        <v>67</v>
      </c>
      <c r="AB26" s="36" t="s">
        <v>67</v>
      </c>
      <c r="AC26" s="36" t="s">
        <v>67</v>
      </c>
      <c r="AD26" s="36" t="s">
        <v>67</v>
      </c>
      <c r="AE26" s="36" t="s">
        <v>67</v>
      </c>
      <c r="AF26" s="19" t="s">
        <v>73</v>
      </c>
      <c r="AG26" s="23"/>
      <c r="AH26" s="36" t="s">
        <v>67</v>
      </c>
      <c r="AI26" s="36">
        <v>3</v>
      </c>
      <c r="AJ26" s="36">
        <v>2</v>
      </c>
      <c r="AK26" s="43">
        <f t="shared" si="0"/>
        <v>23</v>
      </c>
      <c r="AL26" s="36">
        <v>0</v>
      </c>
      <c r="AM26" s="36">
        <f t="shared" si="7"/>
        <v>26</v>
      </c>
      <c r="AN26" s="44">
        <f t="shared" si="2"/>
        <v>25</v>
      </c>
      <c r="AO26" s="45" t="s">
        <v>93</v>
      </c>
      <c r="AP26" s="37" t="s">
        <v>94</v>
      </c>
      <c r="AQ26" s="46" t="s">
        <v>7</v>
      </c>
      <c r="AR26" s="47">
        <v>22000</v>
      </c>
      <c r="AS26" s="48" t="s">
        <v>168</v>
      </c>
      <c r="AT26" s="49">
        <v>23000</v>
      </c>
      <c r="AU26" s="36">
        <v>14000</v>
      </c>
      <c r="AV26" s="50">
        <f>(AU26/AM28)*AN26</f>
        <v>13461.538461538461</v>
      </c>
      <c r="AW26" s="51">
        <f>CEILING( (AU26/AM28)*AN26, 50)</f>
        <v>13500</v>
      </c>
      <c r="AX26" s="50">
        <f t="shared" si="4"/>
        <v>38.461538461539021</v>
      </c>
      <c r="AY26" s="52">
        <f t="shared" si="5"/>
        <v>9500</v>
      </c>
      <c r="AZ26" s="54" t="s">
        <v>192</v>
      </c>
      <c r="BA26" s="54" t="s">
        <v>6</v>
      </c>
    </row>
    <row r="27" spans="1:53" ht="14.25" customHeight="1">
      <c r="A27" s="36">
        <v>25</v>
      </c>
      <c r="B27" s="37" t="s">
        <v>95</v>
      </c>
      <c r="C27" s="37" t="s">
        <v>96</v>
      </c>
      <c r="D27" s="19" t="s">
        <v>67</v>
      </c>
      <c r="E27" s="23"/>
      <c r="F27" s="36" t="s">
        <v>67</v>
      </c>
      <c r="G27" s="36" t="s">
        <v>67</v>
      </c>
      <c r="H27" s="36" t="s">
        <v>67</v>
      </c>
      <c r="I27" s="36" t="s">
        <v>67</v>
      </c>
      <c r="J27" s="36" t="s">
        <v>67</v>
      </c>
      <c r="K27" s="19" t="s">
        <v>73</v>
      </c>
      <c r="L27" s="23"/>
      <c r="M27" s="36" t="s">
        <v>67</v>
      </c>
      <c r="N27" s="36" t="s">
        <v>67</v>
      </c>
      <c r="O27" s="36" t="s">
        <v>70</v>
      </c>
      <c r="P27" s="36" t="s">
        <v>67</v>
      </c>
      <c r="Q27" s="36" t="s">
        <v>67</v>
      </c>
      <c r="R27" s="19" t="s">
        <v>67</v>
      </c>
      <c r="S27" s="23"/>
      <c r="T27" s="36" t="s">
        <v>67</v>
      </c>
      <c r="U27" s="36" t="s">
        <v>67</v>
      </c>
      <c r="V27" s="36" t="s">
        <v>67</v>
      </c>
      <c r="W27" s="36" t="s">
        <v>67</v>
      </c>
      <c r="X27" s="36" t="s">
        <v>67</v>
      </c>
      <c r="Y27" s="19" t="s">
        <v>70</v>
      </c>
      <c r="Z27" s="23"/>
      <c r="AA27" s="36" t="s">
        <v>67</v>
      </c>
      <c r="AB27" s="36" t="s">
        <v>67</v>
      </c>
      <c r="AC27" s="36" t="s">
        <v>67</v>
      </c>
      <c r="AD27" s="36" t="s">
        <v>67</v>
      </c>
      <c r="AE27" s="36" t="s">
        <v>67</v>
      </c>
      <c r="AF27" s="19" t="s">
        <v>73</v>
      </c>
      <c r="AG27" s="23"/>
      <c r="AH27" s="36" t="s">
        <v>67</v>
      </c>
      <c r="AI27" s="36">
        <v>3</v>
      </c>
      <c r="AJ27" s="36">
        <v>2</v>
      </c>
      <c r="AK27" s="43">
        <f t="shared" si="0"/>
        <v>22</v>
      </c>
      <c r="AL27" s="36">
        <v>1</v>
      </c>
      <c r="AM27" s="36">
        <f t="shared" si="7"/>
        <v>26</v>
      </c>
      <c r="AN27" s="44">
        <f t="shared" si="2"/>
        <v>24</v>
      </c>
      <c r="AO27" s="45" t="s">
        <v>95</v>
      </c>
      <c r="AP27" s="37" t="s">
        <v>96</v>
      </c>
      <c r="AQ27" s="46" t="s">
        <v>7</v>
      </c>
      <c r="AR27" s="47">
        <v>22000</v>
      </c>
      <c r="AS27" s="48" t="s">
        <v>168</v>
      </c>
      <c r="AT27" s="49">
        <v>22500</v>
      </c>
      <c r="AU27" s="36">
        <v>14000</v>
      </c>
      <c r="AV27" s="50">
        <f t="shared" ref="AV27:AV68" si="8">(AU27/AM27)*AN27</f>
        <v>12923.076923076922</v>
      </c>
      <c r="AW27" s="51">
        <f t="shared" ref="AW27:AW68" si="9">CEILING( (AU27/AM27)*AN27, 50)</f>
        <v>12950</v>
      </c>
      <c r="AX27" s="50">
        <f t="shared" si="4"/>
        <v>26.923076923078042</v>
      </c>
      <c r="AY27" s="52">
        <f t="shared" si="5"/>
        <v>9550</v>
      </c>
      <c r="AZ27" s="53">
        <v>46273</v>
      </c>
      <c r="BA27" s="54" t="s">
        <v>191</v>
      </c>
    </row>
    <row r="28" spans="1:53" ht="14.25" customHeight="1">
      <c r="A28" s="36">
        <v>26</v>
      </c>
      <c r="B28" s="37" t="s">
        <v>32</v>
      </c>
      <c r="C28" s="37" t="s">
        <v>98</v>
      </c>
      <c r="D28" s="19" t="s">
        <v>67</v>
      </c>
      <c r="E28" s="23"/>
      <c r="F28" s="36" t="s">
        <v>67</v>
      </c>
      <c r="G28" s="36" t="s">
        <v>67</v>
      </c>
      <c r="H28" s="36" t="s">
        <v>67</v>
      </c>
      <c r="I28" s="36" t="s">
        <v>67</v>
      </c>
      <c r="J28" s="36" t="s">
        <v>67</v>
      </c>
      <c r="K28" s="19" t="s">
        <v>73</v>
      </c>
      <c r="L28" s="23"/>
      <c r="M28" s="36" t="s">
        <v>67</v>
      </c>
      <c r="N28" s="36" t="s">
        <v>67</v>
      </c>
      <c r="O28" s="36" t="s">
        <v>67</v>
      </c>
      <c r="P28" s="36" t="s">
        <v>67</v>
      </c>
      <c r="Q28" s="36" t="s">
        <v>67</v>
      </c>
      <c r="R28" s="19" t="s">
        <v>67</v>
      </c>
      <c r="S28" s="23"/>
      <c r="T28" s="36" t="s">
        <v>67</v>
      </c>
      <c r="U28" s="36" t="s">
        <v>67</v>
      </c>
      <c r="V28" s="36" t="s">
        <v>67</v>
      </c>
      <c r="W28" s="36" t="s">
        <v>67</v>
      </c>
      <c r="X28" s="36" t="s">
        <v>67</v>
      </c>
      <c r="Y28" s="19" t="s">
        <v>73</v>
      </c>
      <c r="Z28" s="23"/>
      <c r="AA28" s="36" t="s">
        <v>67</v>
      </c>
      <c r="AB28" s="36" t="s">
        <v>67</v>
      </c>
      <c r="AC28" s="36" t="s">
        <v>67</v>
      </c>
      <c r="AD28" s="36" t="s">
        <v>67</v>
      </c>
      <c r="AE28" s="36" t="s">
        <v>67</v>
      </c>
      <c r="AF28" s="19" t="s">
        <v>73</v>
      </c>
      <c r="AG28" s="23"/>
      <c r="AH28" s="36" t="s">
        <v>67</v>
      </c>
      <c r="AI28" s="36">
        <v>3</v>
      </c>
      <c r="AJ28" s="36">
        <v>3</v>
      </c>
      <c r="AK28" s="43">
        <f t="shared" si="0"/>
        <v>23</v>
      </c>
      <c r="AL28" s="36">
        <v>0</v>
      </c>
      <c r="AM28" s="36">
        <f t="shared" si="7"/>
        <v>26</v>
      </c>
      <c r="AN28" s="44">
        <f t="shared" si="2"/>
        <v>26</v>
      </c>
      <c r="AO28" s="45" t="s">
        <v>32</v>
      </c>
      <c r="AP28" s="37" t="s">
        <v>98</v>
      </c>
      <c r="AQ28" s="46" t="s">
        <v>7</v>
      </c>
      <c r="AR28" s="47">
        <v>22500</v>
      </c>
      <c r="AS28" s="48" t="s">
        <v>168</v>
      </c>
      <c r="AT28" s="49">
        <v>23000</v>
      </c>
      <c r="AU28" s="36">
        <v>15000</v>
      </c>
      <c r="AV28" s="50">
        <f t="shared" si="8"/>
        <v>15000</v>
      </c>
      <c r="AW28" s="51">
        <f t="shared" si="9"/>
        <v>15000</v>
      </c>
      <c r="AX28" s="50">
        <f t="shared" si="4"/>
        <v>0</v>
      </c>
      <c r="AY28" s="52">
        <f t="shared" si="5"/>
        <v>8000</v>
      </c>
      <c r="AZ28" s="54" t="s">
        <v>200</v>
      </c>
      <c r="BA28" s="54" t="s">
        <v>8</v>
      </c>
    </row>
    <row r="29" spans="1:53" ht="14.25" customHeight="1">
      <c r="A29" s="36">
        <v>27</v>
      </c>
      <c r="B29" s="37" t="s">
        <v>76</v>
      </c>
      <c r="C29" s="37" t="s">
        <v>99</v>
      </c>
      <c r="D29" s="19" t="s">
        <v>67</v>
      </c>
      <c r="E29" s="23"/>
      <c r="F29" s="36" t="s">
        <v>67</v>
      </c>
      <c r="G29" s="36" t="s">
        <v>67</v>
      </c>
      <c r="H29" s="36" t="s">
        <v>67</v>
      </c>
      <c r="I29" s="36" t="s">
        <v>67</v>
      </c>
      <c r="J29" s="36" t="s">
        <v>67</v>
      </c>
      <c r="K29" s="19" t="s">
        <v>73</v>
      </c>
      <c r="L29" s="23"/>
      <c r="M29" s="36" t="s">
        <v>67</v>
      </c>
      <c r="N29" s="36" t="s">
        <v>67</v>
      </c>
      <c r="O29" s="36" t="s">
        <v>67</v>
      </c>
      <c r="P29" s="36" t="s">
        <v>67</v>
      </c>
      <c r="Q29" s="36" t="s">
        <v>67</v>
      </c>
      <c r="R29" s="19" t="s">
        <v>67</v>
      </c>
      <c r="S29" s="23"/>
      <c r="T29" s="36" t="s">
        <v>144</v>
      </c>
      <c r="U29" s="36" t="s">
        <v>67</v>
      </c>
      <c r="V29" s="36" t="s">
        <v>67</v>
      </c>
      <c r="W29" s="36" t="s">
        <v>67</v>
      </c>
      <c r="X29" s="36" t="s">
        <v>70</v>
      </c>
      <c r="Y29" s="19" t="s">
        <v>73</v>
      </c>
      <c r="Z29" s="23"/>
      <c r="AA29" s="36" t="s">
        <v>67</v>
      </c>
      <c r="AB29" s="36" t="s">
        <v>67</v>
      </c>
      <c r="AC29" s="36" t="s">
        <v>74</v>
      </c>
      <c r="AD29" s="36" t="s">
        <v>67</v>
      </c>
      <c r="AE29" s="36" t="s">
        <v>67</v>
      </c>
      <c r="AF29" s="19" t="s">
        <v>73</v>
      </c>
      <c r="AG29" s="23"/>
      <c r="AH29" s="36" t="s">
        <v>67</v>
      </c>
      <c r="AI29" s="36">
        <v>3</v>
      </c>
      <c r="AJ29" s="36">
        <v>3</v>
      </c>
      <c r="AK29" s="43">
        <f t="shared" si="0"/>
        <v>21</v>
      </c>
      <c r="AL29" s="36">
        <v>2</v>
      </c>
      <c r="AM29" s="36">
        <f t="shared" si="7"/>
        <v>26</v>
      </c>
      <c r="AN29" s="44">
        <f t="shared" si="2"/>
        <v>24</v>
      </c>
      <c r="AO29" s="45" t="s">
        <v>76</v>
      </c>
      <c r="AP29" s="37" t="s">
        <v>99</v>
      </c>
      <c r="AQ29" s="46" t="s">
        <v>190</v>
      </c>
      <c r="AR29" s="47">
        <v>23500</v>
      </c>
      <c r="AS29" s="48" t="s">
        <v>168</v>
      </c>
      <c r="AT29" s="49">
        <v>22000</v>
      </c>
      <c r="AU29" s="36">
        <v>16500</v>
      </c>
      <c r="AV29" s="50">
        <f t="shared" si="8"/>
        <v>15230.76923076923</v>
      </c>
      <c r="AW29" s="51">
        <f t="shared" si="9"/>
        <v>15250</v>
      </c>
      <c r="AX29" s="50">
        <f t="shared" si="4"/>
        <v>19.230769230769511</v>
      </c>
      <c r="AY29" s="52">
        <f t="shared" si="5"/>
        <v>6750</v>
      </c>
      <c r="AZ29" s="54" t="s">
        <v>200</v>
      </c>
      <c r="BA29" s="54" t="s">
        <v>8</v>
      </c>
    </row>
    <row r="30" spans="1:53" ht="14.25" customHeight="1">
      <c r="A30" s="36">
        <v>28</v>
      </c>
      <c r="B30" s="37" t="s">
        <v>100</v>
      </c>
      <c r="C30" s="37" t="s">
        <v>99</v>
      </c>
      <c r="D30" s="19" t="s">
        <v>67</v>
      </c>
      <c r="E30" s="23"/>
      <c r="F30" s="36" t="s">
        <v>67</v>
      </c>
      <c r="G30" s="36" t="s">
        <v>67</v>
      </c>
      <c r="H30" s="36" t="s">
        <v>67</v>
      </c>
      <c r="I30" s="36" t="s">
        <v>67</v>
      </c>
      <c r="J30" s="36" t="s">
        <v>67</v>
      </c>
      <c r="K30" s="19" t="s">
        <v>73</v>
      </c>
      <c r="L30" s="23"/>
      <c r="M30" s="36" t="s">
        <v>67</v>
      </c>
      <c r="N30" s="36" t="s">
        <v>67</v>
      </c>
      <c r="O30" s="36" t="s">
        <v>67</v>
      </c>
      <c r="P30" s="36" t="s">
        <v>67</v>
      </c>
      <c r="Q30" s="36" t="s">
        <v>67</v>
      </c>
      <c r="R30" s="19" t="s">
        <v>67</v>
      </c>
      <c r="S30" s="23"/>
      <c r="T30" s="36" t="s">
        <v>67</v>
      </c>
      <c r="U30" s="36" t="s">
        <v>67</v>
      </c>
      <c r="V30" s="36" t="s">
        <v>67</v>
      </c>
      <c r="W30" s="36" t="s">
        <v>67</v>
      </c>
      <c r="X30" s="36" t="s">
        <v>70</v>
      </c>
      <c r="Y30" s="19" t="s">
        <v>73</v>
      </c>
      <c r="Z30" s="23"/>
      <c r="AA30" s="36" t="s">
        <v>67</v>
      </c>
      <c r="AB30" s="36" t="s">
        <v>67</v>
      </c>
      <c r="AC30" s="36" t="s">
        <v>74</v>
      </c>
      <c r="AD30" s="36" t="s">
        <v>67</v>
      </c>
      <c r="AE30" s="36" t="s">
        <v>67</v>
      </c>
      <c r="AF30" s="19" t="s">
        <v>73</v>
      </c>
      <c r="AG30" s="23"/>
      <c r="AH30" s="36" t="s">
        <v>144</v>
      </c>
      <c r="AI30" s="36">
        <v>3</v>
      </c>
      <c r="AJ30" s="36">
        <v>3</v>
      </c>
      <c r="AK30" s="43">
        <f t="shared" si="0"/>
        <v>21</v>
      </c>
      <c r="AL30" s="36">
        <v>2</v>
      </c>
      <c r="AM30" s="36">
        <f t="shared" si="7"/>
        <v>26</v>
      </c>
      <c r="AN30" s="44">
        <f t="shared" si="2"/>
        <v>24</v>
      </c>
      <c r="AO30" s="45" t="s">
        <v>100</v>
      </c>
      <c r="AP30" s="37" t="s">
        <v>99</v>
      </c>
      <c r="AQ30" s="46" t="s">
        <v>190</v>
      </c>
      <c r="AR30" s="47">
        <v>22000</v>
      </c>
      <c r="AS30" s="48" t="s">
        <v>168</v>
      </c>
      <c r="AT30" s="49">
        <v>22000</v>
      </c>
      <c r="AU30" s="36">
        <v>14000</v>
      </c>
      <c r="AV30" s="50">
        <f t="shared" si="8"/>
        <v>12923.076923076922</v>
      </c>
      <c r="AW30" s="51">
        <f t="shared" si="9"/>
        <v>12950</v>
      </c>
      <c r="AX30" s="50">
        <f t="shared" si="4"/>
        <v>26.923076923078042</v>
      </c>
      <c r="AY30" s="52">
        <f t="shared" si="5"/>
        <v>9050</v>
      </c>
      <c r="AZ30" s="54" t="s">
        <v>206</v>
      </c>
      <c r="BA30" s="54" t="s">
        <v>8</v>
      </c>
    </row>
    <row r="31" spans="1:53" ht="14.25" customHeight="1">
      <c r="A31" s="36">
        <v>29</v>
      </c>
      <c r="B31" s="37" t="s">
        <v>207</v>
      </c>
      <c r="C31" s="37" t="s">
        <v>209</v>
      </c>
      <c r="D31" s="19" t="s">
        <v>67</v>
      </c>
      <c r="E31" s="23"/>
      <c r="F31" s="36" t="s">
        <v>67</v>
      </c>
      <c r="G31" s="36" t="s">
        <v>67</v>
      </c>
      <c r="H31" s="36" t="s">
        <v>67</v>
      </c>
      <c r="I31" s="36" t="s">
        <v>67</v>
      </c>
      <c r="J31" s="36" t="s">
        <v>67</v>
      </c>
      <c r="K31" s="19" t="s">
        <v>73</v>
      </c>
      <c r="L31" s="23"/>
      <c r="M31" s="36" t="s">
        <v>67</v>
      </c>
      <c r="N31" s="36" t="s">
        <v>67</v>
      </c>
      <c r="O31" s="36" t="s">
        <v>67</v>
      </c>
      <c r="P31" s="36" t="s">
        <v>67</v>
      </c>
      <c r="Q31" s="36" t="s">
        <v>67</v>
      </c>
      <c r="R31" s="19" t="s">
        <v>67</v>
      </c>
      <c r="S31" s="23"/>
      <c r="T31" s="36" t="s">
        <v>67</v>
      </c>
      <c r="U31" s="36" t="s">
        <v>67</v>
      </c>
      <c r="V31" s="36" t="s">
        <v>67</v>
      </c>
      <c r="W31" s="36" t="s">
        <v>67</v>
      </c>
      <c r="X31" s="36" t="s">
        <v>67</v>
      </c>
      <c r="Y31" s="19" t="s">
        <v>73</v>
      </c>
      <c r="Z31" s="23"/>
      <c r="AA31" s="36" t="s">
        <v>67</v>
      </c>
      <c r="AB31" s="36" t="s">
        <v>67</v>
      </c>
      <c r="AC31" s="36" t="s">
        <v>74</v>
      </c>
      <c r="AD31" s="36" t="s">
        <v>67</v>
      </c>
      <c r="AE31" s="36" t="s">
        <v>67</v>
      </c>
      <c r="AF31" s="19" t="s">
        <v>73</v>
      </c>
      <c r="AG31" s="23"/>
      <c r="AH31" s="36" t="s">
        <v>70</v>
      </c>
      <c r="AI31" s="36">
        <v>3</v>
      </c>
      <c r="AJ31" s="36">
        <v>3</v>
      </c>
      <c r="AK31" s="43">
        <f t="shared" si="0"/>
        <v>22</v>
      </c>
      <c r="AL31" s="36">
        <v>1</v>
      </c>
      <c r="AM31" s="36">
        <f t="shared" si="7"/>
        <v>26</v>
      </c>
      <c r="AN31" s="44">
        <f t="shared" si="2"/>
        <v>25</v>
      </c>
      <c r="AO31" s="45" t="s">
        <v>207</v>
      </c>
      <c r="AP31" s="45" t="s">
        <v>209</v>
      </c>
      <c r="AQ31" s="45" t="s">
        <v>8</v>
      </c>
      <c r="AR31" s="62">
        <v>20500</v>
      </c>
      <c r="AS31" s="45" t="s">
        <v>167</v>
      </c>
      <c r="AT31" s="49">
        <v>20500</v>
      </c>
      <c r="AU31" s="36">
        <v>16500</v>
      </c>
      <c r="AV31" s="50">
        <f t="shared" si="8"/>
        <v>15865.384615384615</v>
      </c>
      <c r="AW31" s="51">
        <f t="shared" si="9"/>
        <v>15900</v>
      </c>
      <c r="AX31" s="50">
        <f t="shared" si="4"/>
        <v>34.615384615384755</v>
      </c>
      <c r="AY31" s="52">
        <f t="shared" si="5"/>
        <v>4600</v>
      </c>
      <c r="AZ31" s="53">
        <v>46273</v>
      </c>
      <c r="BA31" s="54" t="s">
        <v>214</v>
      </c>
    </row>
    <row r="32" spans="1:53" ht="14.25" customHeight="1">
      <c r="A32" s="36">
        <v>30</v>
      </c>
      <c r="B32" s="37" t="s">
        <v>78</v>
      </c>
      <c r="C32" s="37" t="s">
        <v>215</v>
      </c>
      <c r="D32" s="19" t="s">
        <v>67</v>
      </c>
      <c r="E32" s="23"/>
      <c r="F32" s="36" t="s">
        <v>67</v>
      </c>
      <c r="G32" s="36" t="s">
        <v>67</v>
      </c>
      <c r="H32" s="36" t="s">
        <v>67</v>
      </c>
      <c r="I32" s="36" t="s">
        <v>67</v>
      </c>
      <c r="J32" s="36" t="s">
        <v>67</v>
      </c>
      <c r="K32" s="19" t="s">
        <v>73</v>
      </c>
      <c r="L32" s="23"/>
      <c r="M32" s="36" t="s">
        <v>67</v>
      </c>
      <c r="N32" s="36" t="s">
        <v>70</v>
      </c>
      <c r="O32" s="36" t="s">
        <v>70</v>
      </c>
      <c r="P32" s="36" t="s">
        <v>67</v>
      </c>
      <c r="Q32" s="36" t="s">
        <v>67</v>
      </c>
      <c r="R32" s="19" t="s">
        <v>67</v>
      </c>
      <c r="S32" s="23"/>
      <c r="T32" s="36" t="s">
        <v>144</v>
      </c>
      <c r="U32" s="36" t="s">
        <v>67</v>
      </c>
      <c r="V32" s="36" t="s">
        <v>67</v>
      </c>
      <c r="W32" s="36" t="s">
        <v>67</v>
      </c>
      <c r="X32" s="36" t="s">
        <v>67</v>
      </c>
      <c r="Y32" s="19" t="s">
        <v>73</v>
      </c>
      <c r="Z32" s="23"/>
      <c r="AA32" s="36" t="s">
        <v>67</v>
      </c>
      <c r="AB32" s="36" t="s">
        <v>67</v>
      </c>
      <c r="AC32" s="36" t="s">
        <v>74</v>
      </c>
      <c r="AD32" s="36" t="s">
        <v>67</v>
      </c>
      <c r="AE32" s="36" t="s">
        <v>67</v>
      </c>
      <c r="AF32" s="19" t="s">
        <v>73</v>
      </c>
      <c r="AG32" s="23"/>
      <c r="AH32" s="36" t="s">
        <v>67</v>
      </c>
      <c r="AI32" s="36">
        <v>3</v>
      </c>
      <c r="AJ32" s="36">
        <v>3</v>
      </c>
      <c r="AK32" s="43">
        <f t="shared" si="0"/>
        <v>20</v>
      </c>
      <c r="AL32" s="36">
        <v>3</v>
      </c>
      <c r="AM32" s="36">
        <f t="shared" si="7"/>
        <v>26</v>
      </c>
      <c r="AN32" s="44">
        <f t="shared" si="2"/>
        <v>23</v>
      </c>
      <c r="AO32" s="45" t="s">
        <v>78</v>
      </c>
      <c r="AP32" s="45" t="s">
        <v>215</v>
      </c>
      <c r="AQ32" s="45" t="s">
        <v>8</v>
      </c>
      <c r="AR32" s="62">
        <v>22000</v>
      </c>
      <c r="AS32" s="45" t="s">
        <v>167</v>
      </c>
      <c r="AT32" s="49">
        <v>20530</v>
      </c>
      <c r="AU32" s="36">
        <v>16000</v>
      </c>
      <c r="AV32" s="50">
        <f t="shared" si="8"/>
        <v>14153.846153846152</v>
      </c>
      <c r="AW32" s="51">
        <f t="shared" si="9"/>
        <v>14200</v>
      </c>
      <c r="AX32" s="50">
        <f t="shared" si="4"/>
        <v>46.153846153847553</v>
      </c>
      <c r="AY32" s="52">
        <f t="shared" si="5"/>
        <v>6330</v>
      </c>
      <c r="AZ32" s="53">
        <v>46273</v>
      </c>
      <c r="BA32" s="54" t="s">
        <v>214</v>
      </c>
    </row>
    <row r="33" spans="1:53" ht="14.25" customHeight="1">
      <c r="A33" s="36">
        <v>31</v>
      </c>
      <c r="B33" s="37" t="s">
        <v>220</v>
      </c>
      <c r="C33" s="37" t="s">
        <v>221</v>
      </c>
      <c r="D33" s="19" t="s">
        <v>70</v>
      </c>
      <c r="E33" s="23"/>
      <c r="F33" s="36" t="s">
        <v>70</v>
      </c>
      <c r="G33" s="36" t="s">
        <v>70</v>
      </c>
      <c r="H33" s="36" t="s">
        <v>70</v>
      </c>
      <c r="I33" s="36" t="s">
        <v>70</v>
      </c>
      <c r="J33" s="36" t="s">
        <v>70</v>
      </c>
      <c r="K33" s="19" t="s">
        <v>73</v>
      </c>
      <c r="L33" s="23"/>
      <c r="M33" s="36" t="s">
        <v>67</v>
      </c>
      <c r="N33" s="36" t="s">
        <v>67</v>
      </c>
      <c r="O33" s="36" t="s">
        <v>67</v>
      </c>
      <c r="P33" s="36" t="s">
        <v>67</v>
      </c>
      <c r="Q33" s="36" t="s">
        <v>67</v>
      </c>
      <c r="R33" s="19" t="s">
        <v>67</v>
      </c>
      <c r="S33" s="23"/>
      <c r="T33" s="36" t="s">
        <v>171</v>
      </c>
      <c r="U33" s="36" t="s">
        <v>67</v>
      </c>
      <c r="V33" s="36" t="s">
        <v>67</v>
      </c>
      <c r="W33" s="36" t="s">
        <v>67</v>
      </c>
      <c r="X33" s="36" t="s">
        <v>67</v>
      </c>
      <c r="Y33" s="19" t="s">
        <v>73</v>
      </c>
      <c r="Z33" s="23"/>
      <c r="AA33" s="36" t="s">
        <v>67</v>
      </c>
      <c r="AB33" s="36" t="s">
        <v>67</v>
      </c>
      <c r="AC33" s="36" t="s">
        <v>74</v>
      </c>
      <c r="AD33" s="36" t="s">
        <v>70</v>
      </c>
      <c r="AE33" s="36" t="s">
        <v>67</v>
      </c>
      <c r="AF33" s="19" t="s">
        <v>73</v>
      </c>
      <c r="AG33" s="23"/>
      <c r="AH33" s="36" t="s">
        <v>67</v>
      </c>
      <c r="AI33" s="36">
        <v>3</v>
      </c>
      <c r="AJ33" s="36">
        <v>3</v>
      </c>
      <c r="AK33" s="43">
        <f t="shared" si="0"/>
        <v>15.5</v>
      </c>
      <c r="AL33" s="36">
        <v>6.5</v>
      </c>
      <c r="AM33" s="36">
        <v>26</v>
      </c>
      <c r="AN33" s="44">
        <f t="shared" si="2"/>
        <v>18.5</v>
      </c>
      <c r="AO33" s="45" t="s">
        <v>220</v>
      </c>
      <c r="AP33" s="45" t="s">
        <v>225</v>
      </c>
      <c r="AQ33" s="45" t="s">
        <v>6</v>
      </c>
      <c r="AR33" s="62">
        <v>14000</v>
      </c>
      <c r="AS33" s="45" t="s">
        <v>163</v>
      </c>
      <c r="AT33" s="49">
        <v>9870</v>
      </c>
      <c r="AU33" s="36">
        <v>10000</v>
      </c>
      <c r="AV33" s="50">
        <f t="shared" si="8"/>
        <v>7115.3846153846162</v>
      </c>
      <c r="AW33" s="51">
        <f t="shared" si="9"/>
        <v>7150</v>
      </c>
      <c r="AX33" s="50">
        <f t="shared" si="4"/>
        <v>34.615384615383846</v>
      </c>
      <c r="AY33" s="52">
        <f t="shared" si="5"/>
        <v>2720</v>
      </c>
      <c r="AZ33" s="54" t="s">
        <v>228</v>
      </c>
      <c r="BA33" s="54" t="s">
        <v>6</v>
      </c>
    </row>
    <row r="34" spans="1:53" ht="14.25" customHeight="1">
      <c r="A34" s="36">
        <v>32</v>
      </c>
      <c r="B34" s="37" t="s">
        <v>121</v>
      </c>
      <c r="C34" s="37" t="s">
        <v>230</v>
      </c>
      <c r="D34" s="19" t="s">
        <v>70</v>
      </c>
      <c r="E34" s="23"/>
      <c r="F34" s="36" t="s">
        <v>70</v>
      </c>
      <c r="G34" s="36" t="s">
        <v>70</v>
      </c>
      <c r="H34" s="36" t="s">
        <v>70</v>
      </c>
      <c r="I34" s="36" t="s">
        <v>70</v>
      </c>
      <c r="J34" s="36" t="s">
        <v>70</v>
      </c>
      <c r="K34" s="19" t="s">
        <v>70</v>
      </c>
      <c r="L34" s="23"/>
      <c r="M34" s="36" t="s">
        <v>70</v>
      </c>
      <c r="N34" s="36" t="s">
        <v>67</v>
      </c>
      <c r="O34" s="36" t="s">
        <v>67</v>
      </c>
      <c r="P34" s="36" t="s">
        <v>67</v>
      </c>
      <c r="Q34" s="36" t="s">
        <v>67</v>
      </c>
      <c r="R34" s="19" t="s">
        <v>70</v>
      </c>
      <c r="S34" s="23"/>
      <c r="T34" s="36" t="s">
        <v>67</v>
      </c>
      <c r="U34" s="36" t="s">
        <v>67</v>
      </c>
      <c r="V34" s="36" t="s">
        <v>67</v>
      </c>
      <c r="W34" s="36" t="s">
        <v>67</v>
      </c>
      <c r="X34" s="36" t="s">
        <v>67</v>
      </c>
      <c r="Y34" s="19" t="s">
        <v>70</v>
      </c>
      <c r="Z34" s="23"/>
      <c r="AA34" s="36" t="s">
        <v>171</v>
      </c>
      <c r="AB34" s="36" t="s">
        <v>67</v>
      </c>
      <c r="AC34" s="36" t="s">
        <v>70</v>
      </c>
      <c r="AD34" s="36" t="s">
        <v>67</v>
      </c>
      <c r="AE34" s="36" t="s">
        <v>67</v>
      </c>
      <c r="AF34" s="19" t="s">
        <v>67</v>
      </c>
      <c r="AG34" s="23"/>
      <c r="AH34" s="36" t="s">
        <v>67</v>
      </c>
      <c r="AI34" s="36">
        <v>2</v>
      </c>
      <c r="AJ34" s="36">
        <v>0</v>
      </c>
      <c r="AK34" s="43">
        <f t="shared" si="0"/>
        <v>14.5</v>
      </c>
      <c r="AL34" s="36">
        <v>7.5</v>
      </c>
      <c r="AM34" s="36">
        <v>26</v>
      </c>
      <c r="AN34" s="44">
        <f t="shared" si="2"/>
        <v>14.5</v>
      </c>
      <c r="AO34" s="45" t="s">
        <v>121</v>
      </c>
      <c r="AP34" s="45" t="s">
        <v>238</v>
      </c>
      <c r="AQ34" s="45" t="s">
        <v>239</v>
      </c>
      <c r="AR34" s="62">
        <v>18000</v>
      </c>
      <c r="AS34" s="45" t="s">
        <v>240</v>
      </c>
      <c r="AT34" s="49">
        <v>11580</v>
      </c>
      <c r="AU34" s="36">
        <v>14000</v>
      </c>
      <c r="AV34" s="50">
        <f t="shared" si="8"/>
        <v>7807.6923076923076</v>
      </c>
      <c r="AW34" s="51">
        <f t="shared" si="9"/>
        <v>7850</v>
      </c>
      <c r="AX34" s="50">
        <f t="shared" si="4"/>
        <v>42.307692307692378</v>
      </c>
      <c r="AY34" s="52">
        <f t="shared" si="5"/>
        <v>3730</v>
      </c>
      <c r="AZ34" s="54" t="s">
        <v>243</v>
      </c>
      <c r="BA34" s="54" t="s">
        <v>244</v>
      </c>
    </row>
    <row r="35" spans="1:53" ht="14.25" customHeight="1">
      <c r="A35" s="36">
        <v>33</v>
      </c>
      <c r="B35" s="37" t="s">
        <v>245</v>
      </c>
      <c r="C35" s="37" t="s">
        <v>102</v>
      </c>
      <c r="D35" s="19" t="s">
        <v>67</v>
      </c>
      <c r="E35" s="23"/>
      <c r="F35" s="36" t="s">
        <v>67</v>
      </c>
      <c r="G35" s="36" t="s">
        <v>67</v>
      </c>
      <c r="H35" s="36" t="s">
        <v>67</v>
      </c>
      <c r="I35" s="36" t="s">
        <v>67</v>
      </c>
      <c r="J35" s="36" t="s">
        <v>67</v>
      </c>
      <c r="K35" s="19" t="s">
        <v>73</v>
      </c>
      <c r="L35" s="23"/>
      <c r="M35" s="36" t="s">
        <v>67</v>
      </c>
      <c r="N35" s="36" t="s">
        <v>67</v>
      </c>
      <c r="O35" s="36" t="s">
        <v>67</v>
      </c>
      <c r="P35" s="36" t="s">
        <v>67</v>
      </c>
      <c r="Q35" s="36" t="s">
        <v>67</v>
      </c>
      <c r="R35" s="19" t="s">
        <v>67</v>
      </c>
      <c r="S35" s="23"/>
      <c r="T35" s="36" t="s">
        <v>67</v>
      </c>
      <c r="U35" s="36" t="s">
        <v>67</v>
      </c>
      <c r="V35" s="36" t="s">
        <v>67</v>
      </c>
      <c r="W35" s="36" t="s">
        <v>67</v>
      </c>
      <c r="X35" s="36" t="s">
        <v>67</v>
      </c>
      <c r="Y35" s="19" t="s">
        <v>73</v>
      </c>
      <c r="Z35" s="23"/>
      <c r="AA35" s="36" t="s">
        <v>67</v>
      </c>
      <c r="AB35" s="36" t="s">
        <v>67</v>
      </c>
      <c r="AC35" s="36" t="s">
        <v>74</v>
      </c>
      <c r="AD35" s="36" t="s">
        <v>67</v>
      </c>
      <c r="AE35" s="36" t="s">
        <v>67</v>
      </c>
      <c r="AF35" s="19" t="s">
        <v>73</v>
      </c>
      <c r="AG35" s="23"/>
      <c r="AH35" s="36" t="s">
        <v>67</v>
      </c>
      <c r="AI35" s="36">
        <v>3</v>
      </c>
      <c r="AJ35" s="36">
        <v>3</v>
      </c>
      <c r="AK35" s="43">
        <f t="shared" si="0"/>
        <v>23</v>
      </c>
      <c r="AL35" s="36">
        <v>0</v>
      </c>
      <c r="AM35" s="36">
        <f t="shared" ref="AM35:AM69" si="10">SUM(AI35,AK35,AL35)</f>
        <v>26</v>
      </c>
      <c r="AN35" s="44">
        <f t="shared" si="2"/>
        <v>26</v>
      </c>
      <c r="AO35" s="45" t="s">
        <v>101</v>
      </c>
      <c r="AP35" s="45" t="s">
        <v>102</v>
      </c>
      <c r="AQ35" s="45" t="s">
        <v>101</v>
      </c>
      <c r="AR35" s="62">
        <v>22000</v>
      </c>
      <c r="AS35" s="45" t="s">
        <v>250</v>
      </c>
      <c r="AT35" s="49">
        <v>22000</v>
      </c>
      <c r="AU35" s="36">
        <v>17000</v>
      </c>
      <c r="AV35" s="36">
        <f t="shared" si="8"/>
        <v>17000</v>
      </c>
      <c r="AW35" s="51">
        <f t="shared" si="9"/>
        <v>17000</v>
      </c>
      <c r="AX35" s="50">
        <f t="shared" si="4"/>
        <v>0</v>
      </c>
      <c r="AY35" s="52">
        <f t="shared" si="5"/>
        <v>5000</v>
      </c>
      <c r="AZ35" s="54" t="s">
        <v>251</v>
      </c>
      <c r="BA35" s="54" t="s">
        <v>44</v>
      </c>
    </row>
    <row r="36" spans="1:53" ht="14.25" customHeight="1">
      <c r="A36" s="36">
        <v>34</v>
      </c>
      <c r="B36" s="37" t="s">
        <v>103</v>
      </c>
      <c r="C36" s="37" t="s">
        <v>102</v>
      </c>
      <c r="D36" s="19" t="s">
        <v>67</v>
      </c>
      <c r="E36" s="23"/>
      <c r="F36" s="36" t="s">
        <v>67</v>
      </c>
      <c r="G36" s="36" t="s">
        <v>67</v>
      </c>
      <c r="H36" s="36" t="s">
        <v>67</v>
      </c>
      <c r="I36" s="36" t="s">
        <v>67</v>
      </c>
      <c r="J36" s="36" t="s">
        <v>67</v>
      </c>
      <c r="K36" s="19" t="s">
        <v>73</v>
      </c>
      <c r="L36" s="23"/>
      <c r="M36" s="36" t="s">
        <v>67</v>
      </c>
      <c r="N36" s="36" t="s">
        <v>67</v>
      </c>
      <c r="O36" s="36" t="s">
        <v>67</v>
      </c>
      <c r="P36" s="36" t="s">
        <v>67</v>
      </c>
      <c r="Q36" s="36" t="s">
        <v>67</v>
      </c>
      <c r="R36" s="19" t="s">
        <v>67</v>
      </c>
      <c r="S36" s="23"/>
      <c r="T36" s="36" t="s">
        <v>67</v>
      </c>
      <c r="U36" s="36" t="s">
        <v>67</v>
      </c>
      <c r="V36" s="36" t="s">
        <v>67</v>
      </c>
      <c r="W36" s="36" t="s">
        <v>67</v>
      </c>
      <c r="X36" s="36" t="s">
        <v>67</v>
      </c>
      <c r="Y36" s="19" t="s">
        <v>73</v>
      </c>
      <c r="Z36" s="23"/>
      <c r="AA36" s="36" t="s">
        <v>67</v>
      </c>
      <c r="AB36" s="36" t="s">
        <v>67</v>
      </c>
      <c r="AC36" s="36" t="s">
        <v>74</v>
      </c>
      <c r="AD36" s="36" t="s">
        <v>67</v>
      </c>
      <c r="AE36" s="36" t="s">
        <v>67</v>
      </c>
      <c r="AF36" s="19" t="s">
        <v>73</v>
      </c>
      <c r="AG36" s="23"/>
      <c r="AH36" s="36" t="s">
        <v>67</v>
      </c>
      <c r="AI36" s="36">
        <v>3</v>
      </c>
      <c r="AJ36" s="36">
        <v>3</v>
      </c>
      <c r="AK36" s="43">
        <f t="shared" si="0"/>
        <v>23</v>
      </c>
      <c r="AL36" s="36">
        <v>0</v>
      </c>
      <c r="AM36" s="36">
        <f t="shared" si="10"/>
        <v>26</v>
      </c>
      <c r="AN36" s="44">
        <f t="shared" si="2"/>
        <v>26</v>
      </c>
      <c r="AO36" s="45" t="s">
        <v>103</v>
      </c>
      <c r="AP36" s="37" t="s">
        <v>102</v>
      </c>
      <c r="AQ36" s="46" t="s">
        <v>103</v>
      </c>
      <c r="AR36" s="47">
        <v>22000</v>
      </c>
      <c r="AS36" s="48" t="s">
        <v>250</v>
      </c>
      <c r="AT36" s="49">
        <v>22000</v>
      </c>
      <c r="AU36" s="36">
        <v>17000</v>
      </c>
      <c r="AV36" s="50">
        <f t="shared" si="8"/>
        <v>17000</v>
      </c>
      <c r="AW36" s="51">
        <f t="shared" si="9"/>
        <v>17000</v>
      </c>
      <c r="AX36" s="50">
        <f t="shared" si="4"/>
        <v>0</v>
      </c>
      <c r="AY36" s="52">
        <f t="shared" si="5"/>
        <v>5000</v>
      </c>
      <c r="AZ36" s="53">
        <v>46268</v>
      </c>
      <c r="BA36" s="54" t="s">
        <v>44</v>
      </c>
    </row>
    <row r="37" spans="1:53" ht="14.25" customHeight="1">
      <c r="A37" s="36">
        <v>35</v>
      </c>
      <c r="B37" s="37" t="s">
        <v>104</v>
      </c>
      <c r="C37" s="37" t="s">
        <v>105</v>
      </c>
      <c r="D37" s="19" t="s">
        <v>67</v>
      </c>
      <c r="E37" s="23"/>
      <c r="F37" s="36" t="s">
        <v>67</v>
      </c>
      <c r="G37" s="36" t="s">
        <v>67</v>
      </c>
      <c r="H37" s="36" t="s">
        <v>67</v>
      </c>
      <c r="I37" s="36" t="s">
        <v>67</v>
      </c>
      <c r="J37" s="36" t="s">
        <v>67</v>
      </c>
      <c r="K37" s="19" t="s">
        <v>73</v>
      </c>
      <c r="L37" s="23"/>
      <c r="M37" s="36" t="s">
        <v>67</v>
      </c>
      <c r="N37" s="36" t="s">
        <v>67</v>
      </c>
      <c r="O37" s="36" t="s">
        <v>67</v>
      </c>
      <c r="P37" s="36" t="s">
        <v>67</v>
      </c>
      <c r="Q37" s="36" t="s">
        <v>144</v>
      </c>
      <c r="R37" s="19" t="s">
        <v>67</v>
      </c>
      <c r="S37" s="23"/>
      <c r="T37" s="36" t="s">
        <v>67</v>
      </c>
      <c r="U37" s="36" t="s">
        <v>67</v>
      </c>
      <c r="V37" s="36" t="s">
        <v>67</v>
      </c>
      <c r="W37" s="36" t="s">
        <v>67</v>
      </c>
      <c r="X37" s="36" t="s">
        <v>67</v>
      </c>
      <c r="Y37" s="19" t="s">
        <v>73</v>
      </c>
      <c r="Z37" s="23"/>
      <c r="AA37" s="36" t="s">
        <v>67</v>
      </c>
      <c r="AB37" s="36" t="s">
        <v>67</v>
      </c>
      <c r="AC37" s="36" t="s">
        <v>74</v>
      </c>
      <c r="AD37" s="36" t="s">
        <v>67</v>
      </c>
      <c r="AE37" s="36" t="s">
        <v>67</v>
      </c>
      <c r="AF37" s="19" t="s">
        <v>73</v>
      </c>
      <c r="AG37" s="23"/>
      <c r="AH37" s="36" t="s">
        <v>67</v>
      </c>
      <c r="AI37" s="36">
        <v>3</v>
      </c>
      <c r="AJ37" s="36">
        <v>3</v>
      </c>
      <c r="AK37" s="43">
        <f t="shared" si="0"/>
        <v>22</v>
      </c>
      <c r="AL37" s="36">
        <v>1</v>
      </c>
      <c r="AM37" s="36">
        <f t="shared" si="10"/>
        <v>26</v>
      </c>
      <c r="AN37" s="44">
        <f t="shared" si="2"/>
        <v>25</v>
      </c>
      <c r="AO37" s="45" t="s">
        <v>104</v>
      </c>
      <c r="AP37" s="37" t="s">
        <v>105</v>
      </c>
      <c r="AQ37" s="46" t="s">
        <v>44</v>
      </c>
      <c r="AR37" s="47">
        <v>23000</v>
      </c>
      <c r="AS37" s="48" t="s">
        <v>256</v>
      </c>
      <c r="AT37" s="49">
        <v>23000</v>
      </c>
      <c r="AU37" s="36">
        <v>17000</v>
      </c>
      <c r="AV37" s="50">
        <f t="shared" si="8"/>
        <v>16346.153846153846</v>
      </c>
      <c r="AW37" s="51">
        <f t="shared" si="9"/>
        <v>16350</v>
      </c>
      <c r="AX37" s="50">
        <f t="shared" si="4"/>
        <v>3.8461538461542659</v>
      </c>
      <c r="AY37" s="52">
        <f t="shared" si="5"/>
        <v>6650</v>
      </c>
      <c r="AZ37" s="53">
        <v>46268</v>
      </c>
      <c r="BA37" s="54" t="s">
        <v>44</v>
      </c>
    </row>
    <row r="38" spans="1:53" ht="14.25" customHeight="1">
      <c r="A38" s="36">
        <v>36</v>
      </c>
      <c r="B38" s="37" t="s">
        <v>106</v>
      </c>
      <c r="C38" s="37" t="s">
        <v>105</v>
      </c>
      <c r="D38" s="19" t="s">
        <v>67</v>
      </c>
      <c r="E38" s="23"/>
      <c r="F38" s="36" t="s">
        <v>67</v>
      </c>
      <c r="G38" s="36" t="s">
        <v>67</v>
      </c>
      <c r="H38" s="36" t="s">
        <v>67</v>
      </c>
      <c r="I38" s="36" t="s">
        <v>67</v>
      </c>
      <c r="J38" s="36" t="s">
        <v>67</v>
      </c>
      <c r="K38" s="19" t="s">
        <v>73</v>
      </c>
      <c r="L38" s="23"/>
      <c r="M38" s="36" t="s">
        <v>67</v>
      </c>
      <c r="N38" s="36" t="s">
        <v>67</v>
      </c>
      <c r="O38" s="36" t="s">
        <v>67</v>
      </c>
      <c r="P38" s="36" t="s">
        <v>67</v>
      </c>
      <c r="Q38" s="36" t="s">
        <v>67</v>
      </c>
      <c r="R38" s="19" t="s">
        <v>67</v>
      </c>
      <c r="S38" s="23"/>
      <c r="T38" s="36" t="s">
        <v>67</v>
      </c>
      <c r="U38" s="36" t="s">
        <v>67</v>
      </c>
      <c r="V38" s="36" t="s">
        <v>67</v>
      </c>
      <c r="W38" s="36" t="s">
        <v>67</v>
      </c>
      <c r="X38" s="36" t="s">
        <v>67</v>
      </c>
      <c r="Y38" s="19" t="s">
        <v>73</v>
      </c>
      <c r="Z38" s="23"/>
      <c r="AA38" s="36" t="s">
        <v>67</v>
      </c>
      <c r="AB38" s="36" t="s">
        <v>67</v>
      </c>
      <c r="AC38" s="36" t="s">
        <v>74</v>
      </c>
      <c r="AD38" s="36" t="s">
        <v>67</v>
      </c>
      <c r="AE38" s="36" t="s">
        <v>67</v>
      </c>
      <c r="AF38" s="19" t="s">
        <v>73</v>
      </c>
      <c r="AG38" s="23"/>
      <c r="AH38" s="36" t="s">
        <v>67</v>
      </c>
      <c r="AI38" s="36">
        <v>3</v>
      </c>
      <c r="AJ38" s="36">
        <v>3</v>
      </c>
      <c r="AK38" s="43">
        <f t="shared" si="0"/>
        <v>23</v>
      </c>
      <c r="AL38" s="36">
        <v>0</v>
      </c>
      <c r="AM38" s="36">
        <f t="shared" si="10"/>
        <v>26</v>
      </c>
      <c r="AN38" s="44">
        <f t="shared" si="2"/>
        <v>26</v>
      </c>
      <c r="AO38" s="45" t="s">
        <v>106</v>
      </c>
      <c r="AP38" s="37" t="s">
        <v>105</v>
      </c>
      <c r="AQ38" s="46" t="s">
        <v>44</v>
      </c>
      <c r="AR38" s="47">
        <v>23000</v>
      </c>
      <c r="AS38" s="48" t="s">
        <v>256</v>
      </c>
      <c r="AT38" s="49">
        <v>23000</v>
      </c>
      <c r="AU38" s="36">
        <v>14000</v>
      </c>
      <c r="AV38" s="50">
        <f t="shared" si="8"/>
        <v>14000</v>
      </c>
      <c r="AW38" s="51">
        <f t="shared" si="9"/>
        <v>14000</v>
      </c>
      <c r="AX38" s="50">
        <f t="shared" si="4"/>
        <v>0</v>
      </c>
      <c r="AY38" s="52">
        <f t="shared" si="5"/>
        <v>9000</v>
      </c>
      <c r="AZ38" s="53">
        <v>46268</v>
      </c>
      <c r="BA38" s="54" t="s">
        <v>44</v>
      </c>
    </row>
    <row r="39" spans="1:53" ht="14.25" customHeight="1">
      <c r="A39" s="36">
        <v>37</v>
      </c>
      <c r="B39" s="37" t="s">
        <v>259</v>
      </c>
      <c r="C39" s="37" t="s">
        <v>105</v>
      </c>
      <c r="D39" s="19" t="s">
        <v>67</v>
      </c>
      <c r="E39" s="23"/>
      <c r="F39" s="36" t="s">
        <v>67</v>
      </c>
      <c r="G39" s="36" t="s">
        <v>67</v>
      </c>
      <c r="H39" s="36" t="s">
        <v>67</v>
      </c>
      <c r="I39" s="36" t="s">
        <v>67</v>
      </c>
      <c r="J39" s="36" t="s">
        <v>67</v>
      </c>
      <c r="K39" s="19" t="s">
        <v>73</v>
      </c>
      <c r="L39" s="23"/>
      <c r="M39" s="36" t="s">
        <v>67</v>
      </c>
      <c r="N39" s="36" t="s">
        <v>67</v>
      </c>
      <c r="O39" s="36" t="s">
        <v>67</v>
      </c>
      <c r="P39" s="36" t="s">
        <v>67</v>
      </c>
      <c r="Q39" s="36" t="s">
        <v>67</v>
      </c>
      <c r="R39" s="19" t="s">
        <v>67</v>
      </c>
      <c r="S39" s="23"/>
      <c r="T39" s="36" t="s">
        <v>67</v>
      </c>
      <c r="U39" s="36" t="s">
        <v>67</v>
      </c>
      <c r="V39" s="36" t="s">
        <v>67</v>
      </c>
      <c r="W39" s="36" t="s">
        <v>67</v>
      </c>
      <c r="X39" s="36" t="s">
        <v>67</v>
      </c>
      <c r="Y39" s="19" t="s">
        <v>73</v>
      </c>
      <c r="Z39" s="23"/>
      <c r="AA39" s="36" t="s">
        <v>67</v>
      </c>
      <c r="AB39" s="36" t="s">
        <v>67</v>
      </c>
      <c r="AC39" s="36" t="s">
        <v>74</v>
      </c>
      <c r="AD39" s="36" t="s">
        <v>67</v>
      </c>
      <c r="AE39" s="36" t="s">
        <v>67</v>
      </c>
      <c r="AF39" s="19" t="s">
        <v>73</v>
      </c>
      <c r="AG39" s="23"/>
      <c r="AH39" s="36" t="s">
        <v>67</v>
      </c>
      <c r="AI39" s="36">
        <v>3</v>
      </c>
      <c r="AJ39" s="36">
        <v>3</v>
      </c>
      <c r="AK39" s="43">
        <f t="shared" si="0"/>
        <v>23</v>
      </c>
      <c r="AL39" s="36">
        <v>0</v>
      </c>
      <c r="AM39" s="36">
        <f t="shared" si="10"/>
        <v>26</v>
      </c>
      <c r="AN39" s="44">
        <f t="shared" si="2"/>
        <v>26</v>
      </c>
      <c r="AO39" s="45" t="s">
        <v>101</v>
      </c>
      <c r="AP39" s="37" t="s">
        <v>105</v>
      </c>
      <c r="AQ39" s="46" t="s">
        <v>44</v>
      </c>
      <c r="AR39" s="47">
        <v>23000</v>
      </c>
      <c r="AS39" s="48" t="s">
        <v>256</v>
      </c>
      <c r="AT39" s="49">
        <v>23000</v>
      </c>
      <c r="AU39" s="36">
        <v>16500</v>
      </c>
      <c r="AV39" s="50">
        <f t="shared" si="8"/>
        <v>16500</v>
      </c>
      <c r="AW39" s="51">
        <f t="shared" si="9"/>
        <v>16500</v>
      </c>
      <c r="AX39" s="50">
        <f t="shared" si="4"/>
        <v>0</v>
      </c>
      <c r="AY39" s="52">
        <f t="shared" si="5"/>
        <v>6500</v>
      </c>
      <c r="AZ39" s="53">
        <v>46268</v>
      </c>
      <c r="BA39" s="54" t="s">
        <v>44</v>
      </c>
    </row>
    <row r="40" spans="1:53" ht="14.25" customHeight="1">
      <c r="A40" s="36">
        <v>38</v>
      </c>
      <c r="B40" s="37" t="s">
        <v>107</v>
      </c>
      <c r="C40" s="37" t="s">
        <v>261</v>
      </c>
      <c r="D40" s="19" t="s">
        <v>67</v>
      </c>
      <c r="E40" s="23"/>
      <c r="F40" s="36" t="s">
        <v>67</v>
      </c>
      <c r="G40" s="36" t="s">
        <v>67</v>
      </c>
      <c r="H40" s="36" t="s">
        <v>67</v>
      </c>
      <c r="I40" s="36" t="s">
        <v>67</v>
      </c>
      <c r="J40" s="36" t="s">
        <v>67</v>
      </c>
      <c r="K40" s="19" t="s">
        <v>73</v>
      </c>
      <c r="L40" s="23"/>
      <c r="M40" s="36" t="s">
        <v>67</v>
      </c>
      <c r="N40" s="36" t="s">
        <v>67</v>
      </c>
      <c r="O40" s="36" t="s">
        <v>67</v>
      </c>
      <c r="P40" s="36" t="s">
        <v>67</v>
      </c>
      <c r="Q40" s="36" t="s">
        <v>67</v>
      </c>
      <c r="R40" s="19" t="s">
        <v>67</v>
      </c>
      <c r="S40" s="23"/>
      <c r="T40" s="36" t="s">
        <v>67</v>
      </c>
      <c r="U40" s="36" t="s">
        <v>67</v>
      </c>
      <c r="V40" s="36" t="s">
        <v>67</v>
      </c>
      <c r="W40" s="36" t="s">
        <v>67</v>
      </c>
      <c r="X40" s="36" t="s">
        <v>67</v>
      </c>
      <c r="Y40" s="19" t="s">
        <v>73</v>
      </c>
      <c r="Z40" s="23"/>
      <c r="AA40" s="36" t="s">
        <v>67</v>
      </c>
      <c r="AB40" s="36" t="s">
        <v>67</v>
      </c>
      <c r="AC40" s="36" t="s">
        <v>74</v>
      </c>
      <c r="AD40" s="36" t="s">
        <v>67</v>
      </c>
      <c r="AE40" s="36" t="s">
        <v>67</v>
      </c>
      <c r="AF40" s="19" t="s">
        <v>73</v>
      </c>
      <c r="AG40" s="23"/>
      <c r="AH40" s="36" t="s">
        <v>67</v>
      </c>
      <c r="AI40" s="36">
        <v>3</v>
      </c>
      <c r="AJ40" s="36">
        <v>3</v>
      </c>
      <c r="AK40" s="43">
        <f t="shared" si="0"/>
        <v>23</v>
      </c>
      <c r="AL40" s="36">
        <v>0</v>
      </c>
      <c r="AM40" s="36">
        <f t="shared" si="10"/>
        <v>26</v>
      </c>
      <c r="AN40" s="44">
        <f t="shared" si="2"/>
        <v>26</v>
      </c>
      <c r="AO40" s="45" t="s">
        <v>107</v>
      </c>
      <c r="AP40" s="37" t="s">
        <v>263</v>
      </c>
      <c r="AQ40" s="46" t="s">
        <v>44</v>
      </c>
      <c r="AR40" s="47">
        <v>21000</v>
      </c>
      <c r="AS40" s="48" t="s">
        <v>264</v>
      </c>
      <c r="AT40" s="49">
        <v>21000</v>
      </c>
      <c r="AU40" s="36">
        <v>14000</v>
      </c>
      <c r="AV40" s="50">
        <f t="shared" si="8"/>
        <v>14000</v>
      </c>
      <c r="AW40" s="51">
        <f t="shared" si="9"/>
        <v>14000</v>
      </c>
      <c r="AX40" s="50">
        <f t="shared" si="4"/>
        <v>0</v>
      </c>
      <c r="AY40" s="52">
        <f t="shared" si="5"/>
        <v>7000</v>
      </c>
      <c r="AZ40" s="53">
        <v>46276</v>
      </c>
      <c r="BA40" s="54" t="s">
        <v>44</v>
      </c>
    </row>
    <row r="41" spans="1:53" ht="14.25" customHeight="1">
      <c r="A41" s="36">
        <v>39</v>
      </c>
      <c r="B41" s="37" t="s">
        <v>108</v>
      </c>
      <c r="C41" s="37" t="s">
        <v>47</v>
      </c>
      <c r="D41" s="19" t="s">
        <v>67</v>
      </c>
      <c r="E41" s="23"/>
      <c r="F41" s="36" t="s">
        <v>67</v>
      </c>
      <c r="G41" s="36" t="s">
        <v>67</v>
      </c>
      <c r="H41" s="36" t="s">
        <v>67</v>
      </c>
      <c r="I41" s="36" t="s">
        <v>67</v>
      </c>
      <c r="J41" s="36" t="s">
        <v>67</v>
      </c>
      <c r="K41" s="19" t="s">
        <v>73</v>
      </c>
      <c r="L41" s="23"/>
      <c r="M41" s="36" t="s">
        <v>67</v>
      </c>
      <c r="N41" s="36" t="s">
        <v>67</v>
      </c>
      <c r="O41" s="36" t="s">
        <v>67</v>
      </c>
      <c r="P41" s="36" t="s">
        <v>67</v>
      </c>
      <c r="Q41" s="36" t="s">
        <v>67</v>
      </c>
      <c r="R41" s="19" t="s">
        <v>67</v>
      </c>
      <c r="S41" s="23"/>
      <c r="T41" s="36" t="s">
        <v>67</v>
      </c>
      <c r="U41" s="36" t="s">
        <v>67</v>
      </c>
      <c r="V41" s="36" t="s">
        <v>67</v>
      </c>
      <c r="W41" s="36" t="s">
        <v>67</v>
      </c>
      <c r="X41" s="36" t="s">
        <v>67</v>
      </c>
      <c r="Y41" s="19" t="s">
        <v>73</v>
      </c>
      <c r="Z41" s="23"/>
      <c r="AA41" s="36" t="s">
        <v>67</v>
      </c>
      <c r="AB41" s="36" t="s">
        <v>67</v>
      </c>
      <c r="AC41" s="36" t="s">
        <v>74</v>
      </c>
      <c r="AD41" s="36" t="s">
        <v>67</v>
      </c>
      <c r="AE41" s="36" t="s">
        <v>67</v>
      </c>
      <c r="AF41" s="19" t="s">
        <v>73</v>
      </c>
      <c r="AG41" s="23"/>
      <c r="AH41" s="36" t="s">
        <v>67</v>
      </c>
      <c r="AI41" s="36">
        <v>3</v>
      </c>
      <c r="AJ41" s="36">
        <v>3</v>
      </c>
      <c r="AK41" s="43">
        <f t="shared" si="0"/>
        <v>23</v>
      </c>
      <c r="AL41" s="36">
        <v>0</v>
      </c>
      <c r="AM41" s="36">
        <f t="shared" si="10"/>
        <v>26</v>
      </c>
      <c r="AN41" s="44">
        <f t="shared" si="2"/>
        <v>26</v>
      </c>
      <c r="AO41" s="45" t="s">
        <v>108</v>
      </c>
      <c r="AP41" s="37" t="s">
        <v>47</v>
      </c>
      <c r="AQ41" s="46" t="s">
        <v>44</v>
      </c>
      <c r="AR41" s="47">
        <v>21000</v>
      </c>
      <c r="AS41" s="48" t="s">
        <v>182</v>
      </c>
      <c r="AT41" s="49">
        <v>21000</v>
      </c>
      <c r="AU41" s="36">
        <v>14000</v>
      </c>
      <c r="AV41" s="50">
        <f t="shared" si="8"/>
        <v>14000</v>
      </c>
      <c r="AW41" s="51">
        <f t="shared" si="9"/>
        <v>14000</v>
      </c>
      <c r="AX41" s="50">
        <f t="shared" si="4"/>
        <v>0</v>
      </c>
      <c r="AY41" s="52">
        <f t="shared" si="5"/>
        <v>7000</v>
      </c>
      <c r="AZ41" s="53">
        <v>46276</v>
      </c>
      <c r="BA41" s="54" t="s">
        <v>44</v>
      </c>
    </row>
    <row r="42" spans="1:53" ht="14.25" customHeight="1">
      <c r="A42" s="36">
        <v>40</v>
      </c>
      <c r="B42" s="37" t="s">
        <v>109</v>
      </c>
      <c r="C42" s="37" t="s">
        <v>270</v>
      </c>
      <c r="D42" s="19" t="s">
        <v>67</v>
      </c>
      <c r="E42" s="23"/>
      <c r="F42" s="36" t="s">
        <v>67</v>
      </c>
      <c r="G42" s="36" t="s">
        <v>67</v>
      </c>
      <c r="H42" s="36" t="s">
        <v>67</v>
      </c>
      <c r="I42" s="36" t="s">
        <v>67</v>
      </c>
      <c r="J42" s="36" t="s">
        <v>67</v>
      </c>
      <c r="K42" s="19" t="s">
        <v>73</v>
      </c>
      <c r="L42" s="23"/>
      <c r="M42" s="36" t="s">
        <v>67</v>
      </c>
      <c r="N42" s="36" t="s">
        <v>67</v>
      </c>
      <c r="O42" s="36" t="s">
        <v>67</v>
      </c>
      <c r="P42" s="36" t="s">
        <v>67</v>
      </c>
      <c r="Q42" s="36" t="s">
        <v>67</v>
      </c>
      <c r="R42" s="19" t="s">
        <v>67</v>
      </c>
      <c r="S42" s="23"/>
      <c r="T42" s="36" t="s">
        <v>144</v>
      </c>
      <c r="U42" s="36" t="s">
        <v>144</v>
      </c>
      <c r="V42" s="36" t="s">
        <v>144</v>
      </c>
      <c r="W42" s="36" t="s">
        <v>144</v>
      </c>
      <c r="X42" s="36" t="s">
        <v>70</v>
      </c>
      <c r="Y42" s="19" t="s">
        <v>73</v>
      </c>
      <c r="Z42" s="23"/>
      <c r="AA42" s="36" t="s">
        <v>67</v>
      </c>
      <c r="AB42" s="36" t="s">
        <v>70</v>
      </c>
      <c r="AC42" s="36" t="s">
        <v>74</v>
      </c>
      <c r="AD42" s="36" t="s">
        <v>70</v>
      </c>
      <c r="AE42" s="36" t="s">
        <v>70</v>
      </c>
      <c r="AF42" s="19" t="s">
        <v>73</v>
      </c>
      <c r="AG42" s="23"/>
      <c r="AH42" s="36" t="s">
        <v>67</v>
      </c>
      <c r="AI42" s="36">
        <v>3</v>
      </c>
      <c r="AJ42" s="36">
        <v>3</v>
      </c>
      <c r="AK42" s="43">
        <f t="shared" si="0"/>
        <v>15</v>
      </c>
      <c r="AL42" s="36">
        <v>8</v>
      </c>
      <c r="AM42" s="36">
        <f t="shared" si="10"/>
        <v>26</v>
      </c>
      <c r="AN42" s="44">
        <f t="shared" si="2"/>
        <v>18</v>
      </c>
      <c r="AO42" s="45" t="s">
        <v>109</v>
      </c>
      <c r="AP42" s="37" t="s">
        <v>270</v>
      </c>
      <c r="AQ42" s="46" t="s">
        <v>44</v>
      </c>
      <c r="AR42" s="47">
        <v>23000</v>
      </c>
      <c r="AS42" s="48" t="s">
        <v>182</v>
      </c>
      <c r="AT42" s="49">
        <v>23000</v>
      </c>
      <c r="AU42" s="36">
        <v>16000</v>
      </c>
      <c r="AV42" s="50">
        <f t="shared" si="8"/>
        <v>11076.923076923076</v>
      </c>
      <c r="AW42" s="51">
        <f t="shared" si="9"/>
        <v>11100</v>
      </c>
      <c r="AX42" s="50">
        <f t="shared" si="4"/>
        <v>23.076923076923777</v>
      </c>
      <c r="AY42" s="52">
        <f t="shared" si="5"/>
        <v>11900</v>
      </c>
      <c r="AZ42" s="53">
        <v>46277</v>
      </c>
      <c r="BA42" s="54" t="s">
        <v>272</v>
      </c>
    </row>
    <row r="43" spans="1:53" ht="14.25" customHeight="1">
      <c r="A43" s="36">
        <v>41</v>
      </c>
      <c r="B43" s="37" t="s">
        <v>273</v>
      </c>
      <c r="C43" s="37" t="s">
        <v>110</v>
      </c>
      <c r="D43" s="19" t="s">
        <v>67</v>
      </c>
      <c r="E43" s="23"/>
      <c r="F43" s="36" t="s">
        <v>67</v>
      </c>
      <c r="G43" s="36" t="s">
        <v>67</v>
      </c>
      <c r="H43" s="36" t="s">
        <v>67</v>
      </c>
      <c r="I43" s="36" t="s">
        <v>67</v>
      </c>
      <c r="J43" s="36" t="s">
        <v>67</v>
      </c>
      <c r="K43" s="19" t="s">
        <v>73</v>
      </c>
      <c r="L43" s="23"/>
      <c r="M43" s="36" t="s">
        <v>70</v>
      </c>
      <c r="N43" s="36" t="s">
        <v>67</v>
      </c>
      <c r="O43" s="36" t="s">
        <v>67</v>
      </c>
      <c r="P43" s="36" t="s">
        <v>67</v>
      </c>
      <c r="Q43" s="36" t="s">
        <v>67</v>
      </c>
      <c r="R43" s="19" t="s">
        <v>67</v>
      </c>
      <c r="S43" s="23"/>
      <c r="T43" s="36" t="s">
        <v>67</v>
      </c>
      <c r="U43" s="36" t="s">
        <v>67</v>
      </c>
      <c r="V43" s="36" t="s">
        <v>67</v>
      </c>
      <c r="W43" s="36" t="s">
        <v>67</v>
      </c>
      <c r="X43" s="36" t="s">
        <v>67</v>
      </c>
      <c r="Y43" s="19" t="s">
        <v>73</v>
      </c>
      <c r="Z43" s="23"/>
      <c r="AA43" s="36" t="s">
        <v>67</v>
      </c>
      <c r="AB43" s="36" t="s">
        <v>67</v>
      </c>
      <c r="AC43" s="36" t="s">
        <v>74</v>
      </c>
      <c r="AD43" s="36" t="s">
        <v>67</v>
      </c>
      <c r="AE43" s="36" t="s">
        <v>67</v>
      </c>
      <c r="AF43" s="19" t="s">
        <v>73</v>
      </c>
      <c r="AG43" s="23"/>
      <c r="AH43" s="36" t="s">
        <v>67</v>
      </c>
      <c r="AI43" s="36">
        <v>3</v>
      </c>
      <c r="AJ43" s="36">
        <v>3</v>
      </c>
      <c r="AK43" s="43">
        <f t="shared" si="0"/>
        <v>22</v>
      </c>
      <c r="AL43" s="36">
        <v>1</v>
      </c>
      <c r="AM43" s="36">
        <f t="shared" si="10"/>
        <v>26</v>
      </c>
      <c r="AN43" s="44">
        <f t="shared" si="2"/>
        <v>25</v>
      </c>
      <c r="AO43" s="45" t="s">
        <v>273</v>
      </c>
      <c r="AP43" s="37" t="s">
        <v>110</v>
      </c>
      <c r="AQ43" s="46" t="s">
        <v>44</v>
      </c>
      <c r="AR43" s="47">
        <v>23000</v>
      </c>
      <c r="AS43" s="48" t="s">
        <v>182</v>
      </c>
      <c r="AT43" s="49">
        <v>23000</v>
      </c>
      <c r="AU43" s="36">
        <v>16500</v>
      </c>
      <c r="AV43" s="50">
        <f t="shared" si="8"/>
        <v>15865.384615384615</v>
      </c>
      <c r="AW43" s="51">
        <f t="shared" si="9"/>
        <v>15900</v>
      </c>
      <c r="AX43" s="50">
        <f t="shared" si="4"/>
        <v>34.615384615384755</v>
      </c>
      <c r="AY43" s="52">
        <f t="shared" si="5"/>
        <v>7100</v>
      </c>
      <c r="AZ43" s="54" t="s">
        <v>276</v>
      </c>
      <c r="BA43" s="54" t="s">
        <v>8</v>
      </c>
    </row>
    <row r="44" spans="1:53" ht="14.25" customHeight="1">
      <c r="A44" s="36">
        <v>42</v>
      </c>
      <c r="B44" s="37" t="s">
        <v>111</v>
      </c>
      <c r="C44" s="37" t="s">
        <v>110</v>
      </c>
      <c r="D44" s="19" t="s">
        <v>67</v>
      </c>
      <c r="E44" s="23"/>
      <c r="F44" s="36" t="s">
        <v>67</v>
      </c>
      <c r="G44" s="36" t="s">
        <v>67</v>
      </c>
      <c r="H44" s="36" t="s">
        <v>67</v>
      </c>
      <c r="I44" s="36" t="s">
        <v>67</v>
      </c>
      <c r="J44" s="36" t="s">
        <v>67</v>
      </c>
      <c r="K44" s="19" t="s">
        <v>73</v>
      </c>
      <c r="L44" s="23"/>
      <c r="M44" s="36" t="s">
        <v>67</v>
      </c>
      <c r="N44" s="36" t="s">
        <v>67</v>
      </c>
      <c r="O44" s="36" t="s">
        <v>67</v>
      </c>
      <c r="P44" s="36" t="s">
        <v>67</v>
      </c>
      <c r="Q44" s="36" t="s">
        <v>67</v>
      </c>
      <c r="R44" s="19" t="s">
        <v>67</v>
      </c>
      <c r="S44" s="23"/>
      <c r="T44" s="36" t="s">
        <v>67</v>
      </c>
      <c r="U44" s="36" t="s">
        <v>67</v>
      </c>
      <c r="V44" s="36" t="s">
        <v>67</v>
      </c>
      <c r="W44" s="36" t="s">
        <v>67</v>
      </c>
      <c r="X44" s="36" t="s">
        <v>67</v>
      </c>
      <c r="Y44" s="19" t="s">
        <v>73</v>
      </c>
      <c r="Z44" s="23"/>
      <c r="AA44" s="36" t="s">
        <v>67</v>
      </c>
      <c r="AB44" s="36" t="s">
        <v>67</v>
      </c>
      <c r="AC44" s="36" t="s">
        <v>74</v>
      </c>
      <c r="AD44" s="36" t="s">
        <v>67</v>
      </c>
      <c r="AE44" s="36" t="s">
        <v>67</v>
      </c>
      <c r="AF44" s="19" t="s">
        <v>73</v>
      </c>
      <c r="AG44" s="23"/>
      <c r="AH44" s="36" t="s">
        <v>67</v>
      </c>
      <c r="AI44" s="36">
        <v>3</v>
      </c>
      <c r="AJ44" s="36">
        <v>3</v>
      </c>
      <c r="AK44" s="43">
        <f t="shared" si="0"/>
        <v>23</v>
      </c>
      <c r="AL44" s="36">
        <v>0</v>
      </c>
      <c r="AM44" s="36">
        <f t="shared" si="10"/>
        <v>26</v>
      </c>
      <c r="AN44" s="44">
        <f t="shared" si="2"/>
        <v>26</v>
      </c>
      <c r="AO44" s="45" t="s">
        <v>278</v>
      </c>
      <c r="AP44" s="37" t="s">
        <v>110</v>
      </c>
      <c r="AQ44" s="46" t="s">
        <v>44</v>
      </c>
      <c r="AR44" s="47">
        <v>22000</v>
      </c>
      <c r="AS44" s="48" t="s">
        <v>182</v>
      </c>
      <c r="AT44" s="49">
        <v>22000</v>
      </c>
      <c r="AU44" s="36">
        <v>15000</v>
      </c>
      <c r="AV44" s="50">
        <f t="shared" si="8"/>
        <v>15000</v>
      </c>
      <c r="AW44" s="51">
        <f t="shared" si="9"/>
        <v>15000</v>
      </c>
      <c r="AX44" s="50">
        <f t="shared" si="4"/>
        <v>0</v>
      </c>
      <c r="AY44" s="52">
        <f t="shared" si="5"/>
        <v>7000</v>
      </c>
      <c r="AZ44" s="54" t="s">
        <v>276</v>
      </c>
      <c r="BA44" s="54" t="s">
        <v>8</v>
      </c>
    </row>
    <row r="45" spans="1:53" ht="14.25" customHeight="1">
      <c r="A45" s="36">
        <v>43</v>
      </c>
      <c r="B45" s="37" t="s">
        <v>115</v>
      </c>
      <c r="C45" s="37" t="s">
        <v>113</v>
      </c>
      <c r="D45" s="19" t="s">
        <v>67</v>
      </c>
      <c r="E45" s="23"/>
      <c r="F45" s="36" t="s">
        <v>67</v>
      </c>
      <c r="G45" s="36" t="s">
        <v>67</v>
      </c>
      <c r="H45" s="36" t="s">
        <v>67</v>
      </c>
      <c r="I45" s="36" t="s">
        <v>67</v>
      </c>
      <c r="J45" s="36" t="s">
        <v>67</v>
      </c>
      <c r="K45" s="19" t="s">
        <v>73</v>
      </c>
      <c r="L45" s="23"/>
      <c r="M45" s="36" t="s">
        <v>67</v>
      </c>
      <c r="N45" s="36" t="s">
        <v>67</v>
      </c>
      <c r="O45" s="36" t="s">
        <v>67</v>
      </c>
      <c r="P45" s="36" t="s">
        <v>67</v>
      </c>
      <c r="Q45" s="36" t="s">
        <v>67</v>
      </c>
      <c r="R45" s="19" t="s">
        <v>67</v>
      </c>
      <c r="S45" s="23"/>
      <c r="T45" s="36" t="s">
        <v>144</v>
      </c>
      <c r="U45" s="36" t="s">
        <v>67</v>
      </c>
      <c r="V45" s="36" t="s">
        <v>67</v>
      </c>
      <c r="W45" s="36" t="s">
        <v>67</v>
      </c>
      <c r="X45" s="36" t="s">
        <v>67</v>
      </c>
      <c r="Y45" s="19" t="s">
        <v>73</v>
      </c>
      <c r="Z45" s="23"/>
      <c r="AA45" s="36" t="s">
        <v>67</v>
      </c>
      <c r="AB45" s="36" t="s">
        <v>67</v>
      </c>
      <c r="AC45" s="36" t="s">
        <v>74</v>
      </c>
      <c r="AD45" s="36" t="s">
        <v>67</v>
      </c>
      <c r="AE45" s="36" t="s">
        <v>67</v>
      </c>
      <c r="AF45" s="19" t="s">
        <v>73</v>
      </c>
      <c r="AG45" s="23"/>
      <c r="AH45" s="36" t="s">
        <v>67</v>
      </c>
      <c r="AI45" s="36">
        <v>3</v>
      </c>
      <c r="AJ45" s="36">
        <v>3</v>
      </c>
      <c r="AK45" s="43">
        <f t="shared" si="0"/>
        <v>22</v>
      </c>
      <c r="AL45" s="36">
        <v>1</v>
      </c>
      <c r="AM45" s="36">
        <f t="shared" si="10"/>
        <v>26</v>
      </c>
      <c r="AN45" s="44">
        <f t="shared" si="2"/>
        <v>25</v>
      </c>
      <c r="AO45" s="45" t="s">
        <v>115</v>
      </c>
      <c r="AP45" s="37" t="s">
        <v>113</v>
      </c>
      <c r="AQ45" s="46" t="s">
        <v>44</v>
      </c>
      <c r="AR45" s="47">
        <v>22000</v>
      </c>
      <c r="AS45" s="48" t="s">
        <v>281</v>
      </c>
      <c r="AT45" s="49">
        <v>22000</v>
      </c>
      <c r="AU45" s="36">
        <v>17000</v>
      </c>
      <c r="AV45" s="50">
        <f t="shared" si="8"/>
        <v>16346.153846153846</v>
      </c>
      <c r="AW45" s="51">
        <f t="shared" si="9"/>
        <v>16350</v>
      </c>
      <c r="AX45" s="50">
        <f t="shared" si="4"/>
        <v>3.8461538461542659</v>
      </c>
      <c r="AY45" s="52">
        <f t="shared" si="5"/>
        <v>5650</v>
      </c>
      <c r="AZ45" s="53">
        <v>46271</v>
      </c>
      <c r="BA45" s="54" t="s">
        <v>44</v>
      </c>
    </row>
    <row r="46" spans="1:53" ht="14.25" customHeight="1">
      <c r="A46" s="36">
        <v>44</v>
      </c>
      <c r="B46" s="37" t="s">
        <v>112</v>
      </c>
      <c r="C46" s="37" t="s">
        <v>113</v>
      </c>
      <c r="D46" s="19" t="s">
        <v>67</v>
      </c>
      <c r="E46" s="23"/>
      <c r="F46" s="36" t="s">
        <v>67</v>
      </c>
      <c r="G46" s="36" t="s">
        <v>67</v>
      </c>
      <c r="H46" s="36" t="s">
        <v>67</v>
      </c>
      <c r="I46" s="36" t="s">
        <v>67</v>
      </c>
      <c r="J46" s="36" t="s">
        <v>67</v>
      </c>
      <c r="K46" s="19" t="s">
        <v>73</v>
      </c>
      <c r="L46" s="23"/>
      <c r="M46" s="36" t="s">
        <v>67</v>
      </c>
      <c r="N46" s="36" t="s">
        <v>67</v>
      </c>
      <c r="O46" s="36" t="s">
        <v>67</v>
      </c>
      <c r="P46" s="36" t="s">
        <v>67</v>
      </c>
      <c r="Q46" s="36" t="s">
        <v>67</v>
      </c>
      <c r="R46" s="19" t="s">
        <v>67</v>
      </c>
      <c r="S46" s="23"/>
      <c r="T46" s="36" t="s">
        <v>67</v>
      </c>
      <c r="U46" s="36" t="s">
        <v>67</v>
      </c>
      <c r="V46" s="36" t="s">
        <v>67</v>
      </c>
      <c r="W46" s="36" t="s">
        <v>67</v>
      </c>
      <c r="X46" s="36" t="s">
        <v>67</v>
      </c>
      <c r="Y46" s="19" t="s">
        <v>73</v>
      </c>
      <c r="Z46" s="23"/>
      <c r="AA46" s="36" t="s">
        <v>67</v>
      </c>
      <c r="AB46" s="36" t="s">
        <v>67</v>
      </c>
      <c r="AC46" s="36" t="s">
        <v>74</v>
      </c>
      <c r="AD46" s="36" t="s">
        <v>67</v>
      </c>
      <c r="AE46" s="36" t="s">
        <v>67</v>
      </c>
      <c r="AF46" s="19" t="s">
        <v>73</v>
      </c>
      <c r="AG46" s="23"/>
      <c r="AH46" s="36" t="s">
        <v>67</v>
      </c>
      <c r="AI46" s="36">
        <v>3</v>
      </c>
      <c r="AJ46" s="36">
        <v>3</v>
      </c>
      <c r="AK46" s="43">
        <f t="shared" si="0"/>
        <v>23</v>
      </c>
      <c r="AL46" s="36">
        <v>0</v>
      </c>
      <c r="AM46" s="36">
        <f t="shared" si="10"/>
        <v>26</v>
      </c>
      <c r="AN46" s="44">
        <f t="shared" si="2"/>
        <v>26</v>
      </c>
      <c r="AO46" s="45" t="s">
        <v>112</v>
      </c>
      <c r="AP46" s="37" t="s">
        <v>113</v>
      </c>
      <c r="AQ46" s="46" t="s">
        <v>44</v>
      </c>
      <c r="AR46" s="47">
        <v>22000</v>
      </c>
      <c r="AS46" s="48" t="s">
        <v>281</v>
      </c>
      <c r="AT46" s="49">
        <v>22000</v>
      </c>
      <c r="AU46" s="36">
        <v>16000</v>
      </c>
      <c r="AV46" s="50">
        <f t="shared" si="8"/>
        <v>16000</v>
      </c>
      <c r="AW46" s="51">
        <f t="shared" si="9"/>
        <v>16000</v>
      </c>
      <c r="AX46" s="50">
        <f t="shared" si="4"/>
        <v>0</v>
      </c>
      <c r="AY46" s="52">
        <f t="shared" si="5"/>
        <v>6000</v>
      </c>
      <c r="AZ46" s="53">
        <v>46271</v>
      </c>
      <c r="BA46" s="54" t="s">
        <v>44</v>
      </c>
    </row>
    <row r="47" spans="1:53" ht="14.25" customHeight="1">
      <c r="A47" s="36">
        <v>45</v>
      </c>
      <c r="B47" s="37" t="s">
        <v>116</v>
      </c>
      <c r="C47" s="37" t="s">
        <v>295</v>
      </c>
      <c r="D47" s="19" t="s">
        <v>67</v>
      </c>
      <c r="E47" s="23"/>
      <c r="F47" s="36" t="s">
        <v>67</v>
      </c>
      <c r="G47" s="36" t="s">
        <v>67</v>
      </c>
      <c r="H47" s="36" t="s">
        <v>67</v>
      </c>
      <c r="I47" s="36" t="s">
        <v>67</v>
      </c>
      <c r="J47" s="36" t="s">
        <v>67</v>
      </c>
      <c r="K47" s="19" t="s">
        <v>73</v>
      </c>
      <c r="L47" s="23"/>
      <c r="M47" s="36" t="s">
        <v>67</v>
      </c>
      <c r="N47" s="36" t="s">
        <v>67</v>
      </c>
      <c r="O47" s="36" t="s">
        <v>67</v>
      </c>
      <c r="P47" s="36" t="s">
        <v>67</v>
      </c>
      <c r="Q47" s="36" t="s">
        <v>67</v>
      </c>
      <c r="R47" s="19" t="s">
        <v>67</v>
      </c>
      <c r="S47" s="23"/>
      <c r="T47" s="36" t="s">
        <v>67</v>
      </c>
      <c r="U47" s="36" t="s">
        <v>67</v>
      </c>
      <c r="V47" s="36" t="s">
        <v>67</v>
      </c>
      <c r="W47" s="36" t="s">
        <v>67</v>
      </c>
      <c r="X47" s="36" t="s">
        <v>67</v>
      </c>
      <c r="Y47" s="19" t="s">
        <v>70</v>
      </c>
      <c r="Z47" s="23"/>
      <c r="AA47" s="36" t="s">
        <v>67</v>
      </c>
      <c r="AB47" s="36" t="s">
        <v>67</v>
      </c>
      <c r="AC47" s="36" t="s">
        <v>74</v>
      </c>
      <c r="AD47" s="36" t="s">
        <v>67</v>
      </c>
      <c r="AE47" s="36" t="s">
        <v>67</v>
      </c>
      <c r="AF47" s="19" t="s">
        <v>73</v>
      </c>
      <c r="AG47" s="23"/>
      <c r="AH47" s="36" t="s">
        <v>67</v>
      </c>
      <c r="AI47" s="36">
        <v>3</v>
      </c>
      <c r="AJ47" s="36">
        <v>2</v>
      </c>
      <c r="AK47" s="43">
        <f t="shared" si="0"/>
        <v>23</v>
      </c>
      <c r="AL47" s="36">
        <v>0</v>
      </c>
      <c r="AM47" s="36">
        <f t="shared" si="10"/>
        <v>26</v>
      </c>
      <c r="AN47" s="44">
        <f t="shared" si="2"/>
        <v>25</v>
      </c>
      <c r="AO47" s="45" t="s">
        <v>116</v>
      </c>
      <c r="AP47" s="37" t="s">
        <v>296</v>
      </c>
      <c r="AQ47" s="46" t="s">
        <v>44</v>
      </c>
      <c r="AR47" s="47">
        <v>21000</v>
      </c>
      <c r="AS47" s="48" t="s">
        <v>297</v>
      </c>
      <c r="AT47" s="49">
        <v>21000</v>
      </c>
      <c r="AU47" s="36">
        <v>15000</v>
      </c>
      <c r="AV47" s="50">
        <f t="shared" si="8"/>
        <v>14423.076923076922</v>
      </c>
      <c r="AW47" s="51">
        <f t="shared" si="9"/>
        <v>14450</v>
      </c>
      <c r="AX47" s="50">
        <f t="shared" si="4"/>
        <v>26.923076923078042</v>
      </c>
      <c r="AY47" s="52">
        <f t="shared" si="5"/>
        <v>6550</v>
      </c>
      <c r="AZ47" s="53">
        <v>46277</v>
      </c>
      <c r="BA47" s="54" t="s">
        <v>8</v>
      </c>
    </row>
    <row r="48" spans="1:53" ht="14.25" customHeight="1">
      <c r="A48" s="36">
        <v>46</v>
      </c>
      <c r="B48" s="37" t="s">
        <v>118</v>
      </c>
      <c r="C48" s="37" t="s">
        <v>119</v>
      </c>
      <c r="D48" s="19" t="s">
        <v>67</v>
      </c>
      <c r="E48" s="23"/>
      <c r="F48" s="36" t="s">
        <v>67</v>
      </c>
      <c r="G48" s="36" t="s">
        <v>67</v>
      </c>
      <c r="H48" s="36" t="s">
        <v>67</v>
      </c>
      <c r="I48" s="36" t="s">
        <v>67</v>
      </c>
      <c r="J48" s="36" t="s">
        <v>67</v>
      </c>
      <c r="K48" s="19" t="s">
        <v>73</v>
      </c>
      <c r="L48" s="23"/>
      <c r="M48" s="36" t="s">
        <v>67</v>
      </c>
      <c r="N48" s="36" t="s">
        <v>67</v>
      </c>
      <c r="O48" s="36" t="s">
        <v>67</v>
      </c>
      <c r="P48" s="36" t="s">
        <v>67</v>
      </c>
      <c r="Q48" s="36" t="s">
        <v>67</v>
      </c>
      <c r="R48" s="19" t="s">
        <v>67</v>
      </c>
      <c r="S48" s="23"/>
      <c r="T48" s="36" t="s">
        <v>67</v>
      </c>
      <c r="U48" s="36" t="s">
        <v>67</v>
      </c>
      <c r="V48" s="36" t="s">
        <v>67</v>
      </c>
      <c r="W48" s="36" t="s">
        <v>67</v>
      </c>
      <c r="X48" s="36" t="s">
        <v>67</v>
      </c>
      <c r="Y48" s="19" t="s">
        <v>73</v>
      </c>
      <c r="Z48" s="23"/>
      <c r="AA48" s="36" t="s">
        <v>67</v>
      </c>
      <c r="AB48" s="36" t="s">
        <v>67</v>
      </c>
      <c r="AC48" s="36" t="s">
        <v>74</v>
      </c>
      <c r="AD48" s="36" t="s">
        <v>70</v>
      </c>
      <c r="AE48" s="36" t="s">
        <v>67</v>
      </c>
      <c r="AF48" s="19" t="s">
        <v>73</v>
      </c>
      <c r="AG48" s="23"/>
      <c r="AH48" s="36" t="s">
        <v>67</v>
      </c>
      <c r="AI48" s="36">
        <v>3</v>
      </c>
      <c r="AJ48" s="36">
        <v>3</v>
      </c>
      <c r="AK48" s="43">
        <f t="shared" si="0"/>
        <v>22</v>
      </c>
      <c r="AL48" s="36">
        <v>1</v>
      </c>
      <c r="AM48" s="36">
        <f t="shared" si="10"/>
        <v>26</v>
      </c>
      <c r="AN48" s="44">
        <f t="shared" si="2"/>
        <v>25</v>
      </c>
      <c r="AO48" s="45" t="s">
        <v>118</v>
      </c>
      <c r="AP48" s="37" t="s">
        <v>119</v>
      </c>
      <c r="AQ48" s="46" t="s">
        <v>185</v>
      </c>
      <c r="AR48" s="47">
        <v>22000</v>
      </c>
      <c r="AS48" s="48" t="s">
        <v>182</v>
      </c>
      <c r="AT48" s="49">
        <v>22000</v>
      </c>
      <c r="AU48" s="36">
        <v>14000</v>
      </c>
      <c r="AV48" s="50">
        <f t="shared" si="8"/>
        <v>13461.538461538461</v>
      </c>
      <c r="AW48" s="51">
        <f t="shared" si="9"/>
        <v>13500</v>
      </c>
      <c r="AX48" s="50">
        <f t="shared" si="4"/>
        <v>38.461538461539021</v>
      </c>
      <c r="AY48" s="52">
        <f t="shared" si="5"/>
        <v>8500</v>
      </c>
      <c r="AZ48" s="53">
        <v>46269</v>
      </c>
      <c r="BA48" s="54" t="s">
        <v>44</v>
      </c>
    </row>
    <row r="49" spans="1:53" ht="14.25" customHeight="1">
      <c r="A49" s="36">
        <v>47</v>
      </c>
      <c r="B49" s="37" t="s">
        <v>120</v>
      </c>
      <c r="C49" s="37" t="s">
        <v>119</v>
      </c>
      <c r="D49" s="19" t="s">
        <v>67</v>
      </c>
      <c r="E49" s="23"/>
      <c r="F49" s="36" t="s">
        <v>67</v>
      </c>
      <c r="G49" s="36" t="s">
        <v>67</v>
      </c>
      <c r="H49" s="36" t="s">
        <v>70</v>
      </c>
      <c r="I49" s="36" t="s">
        <v>67</v>
      </c>
      <c r="J49" s="36" t="s">
        <v>67</v>
      </c>
      <c r="K49" s="19" t="s">
        <v>70</v>
      </c>
      <c r="L49" s="23"/>
      <c r="M49" s="36" t="s">
        <v>67</v>
      </c>
      <c r="N49" s="36" t="s">
        <v>67</v>
      </c>
      <c r="O49" s="36" t="s">
        <v>67</v>
      </c>
      <c r="P49" s="36" t="s">
        <v>67</v>
      </c>
      <c r="Q49" s="36" t="s">
        <v>67</v>
      </c>
      <c r="R49" s="19" t="s">
        <v>67</v>
      </c>
      <c r="S49" s="23"/>
      <c r="T49" s="36" t="s">
        <v>67</v>
      </c>
      <c r="U49" s="36" t="s">
        <v>67</v>
      </c>
      <c r="V49" s="36" t="s">
        <v>144</v>
      </c>
      <c r="W49" s="36" t="s">
        <v>144</v>
      </c>
      <c r="X49" s="36" t="s">
        <v>144</v>
      </c>
      <c r="Y49" s="19" t="s">
        <v>70</v>
      </c>
      <c r="Z49" s="23"/>
      <c r="AA49" s="36" t="s">
        <v>144</v>
      </c>
      <c r="AB49" s="36" t="s">
        <v>144</v>
      </c>
      <c r="AC49" s="36" t="s">
        <v>70</v>
      </c>
      <c r="AD49" s="36" t="s">
        <v>70</v>
      </c>
      <c r="AE49" s="36" t="s">
        <v>70</v>
      </c>
      <c r="AF49" s="19" t="s">
        <v>70</v>
      </c>
      <c r="AG49" s="23"/>
      <c r="AH49" s="36" t="s">
        <v>70</v>
      </c>
      <c r="AI49" s="36">
        <v>3</v>
      </c>
      <c r="AJ49" s="36">
        <v>0</v>
      </c>
      <c r="AK49" s="43">
        <f t="shared" si="0"/>
        <v>13</v>
      </c>
      <c r="AL49" s="36">
        <v>10</v>
      </c>
      <c r="AM49" s="36">
        <f t="shared" si="10"/>
        <v>26</v>
      </c>
      <c r="AN49" s="44">
        <f t="shared" si="2"/>
        <v>13</v>
      </c>
      <c r="AO49" s="45" t="s">
        <v>120</v>
      </c>
      <c r="AP49" s="37" t="s">
        <v>119</v>
      </c>
      <c r="AQ49" s="46" t="s">
        <v>185</v>
      </c>
      <c r="AR49" s="47">
        <v>22000</v>
      </c>
      <c r="AS49" s="48" t="s">
        <v>182</v>
      </c>
      <c r="AT49" s="49">
        <v>22000</v>
      </c>
      <c r="AU49" s="36">
        <v>15000</v>
      </c>
      <c r="AV49" s="50">
        <f t="shared" si="8"/>
        <v>7500</v>
      </c>
      <c r="AW49" s="51">
        <f t="shared" si="9"/>
        <v>7500</v>
      </c>
      <c r="AX49" s="50">
        <f t="shared" si="4"/>
        <v>0</v>
      </c>
      <c r="AY49" s="52">
        <f t="shared" si="5"/>
        <v>14500</v>
      </c>
      <c r="AZ49" s="53">
        <v>46269</v>
      </c>
      <c r="BA49" s="54" t="s">
        <v>44</v>
      </c>
    </row>
    <row r="50" spans="1:53" ht="14.25" customHeight="1">
      <c r="A50" s="36">
        <v>48</v>
      </c>
      <c r="B50" s="37" t="s">
        <v>298</v>
      </c>
      <c r="C50" s="37" t="s">
        <v>299</v>
      </c>
      <c r="D50" s="19" t="s">
        <v>67</v>
      </c>
      <c r="E50" s="23"/>
      <c r="F50" s="36" t="s">
        <v>67</v>
      </c>
      <c r="G50" s="36" t="s">
        <v>67</v>
      </c>
      <c r="H50" s="36" t="s">
        <v>67</v>
      </c>
      <c r="I50" s="36" t="s">
        <v>67</v>
      </c>
      <c r="J50" s="36" t="s">
        <v>67</v>
      </c>
      <c r="K50" s="19" t="s">
        <v>73</v>
      </c>
      <c r="L50" s="23"/>
      <c r="M50" s="36" t="s">
        <v>67</v>
      </c>
      <c r="N50" s="36" t="s">
        <v>67</v>
      </c>
      <c r="O50" s="36" t="s">
        <v>67</v>
      </c>
      <c r="P50" s="36" t="s">
        <v>67</v>
      </c>
      <c r="Q50" s="36" t="s">
        <v>67</v>
      </c>
      <c r="R50" s="19" t="s">
        <v>67</v>
      </c>
      <c r="S50" s="23"/>
      <c r="T50" s="36" t="s">
        <v>67</v>
      </c>
      <c r="U50" s="36" t="s">
        <v>67</v>
      </c>
      <c r="V50" s="36" t="s">
        <v>67</v>
      </c>
      <c r="W50" s="36" t="s">
        <v>67</v>
      </c>
      <c r="X50" s="36" t="s">
        <v>67</v>
      </c>
      <c r="Y50" s="19" t="s">
        <v>73</v>
      </c>
      <c r="Z50" s="23"/>
      <c r="AA50" s="36" t="s">
        <v>67</v>
      </c>
      <c r="AB50" s="36" t="s">
        <v>67</v>
      </c>
      <c r="AC50" s="36" t="s">
        <v>74</v>
      </c>
      <c r="AD50" s="36" t="s">
        <v>67</v>
      </c>
      <c r="AE50" s="36" t="s">
        <v>67</v>
      </c>
      <c r="AF50" s="19" t="s">
        <v>73</v>
      </c>
      <c r="AG50" s="23"/>
      <c r="AH50" s="36" t="s">
        <v>67</v>
      </c>
      <c r="AI50" s="36">
        <v>3</v>
      </c>
      <c r="AJ50" s="36">
        <v>3</v>
      </c>
      <c r="AK50" s="43">
        <f t="shared" si="0"/>
        <v>23</v>
      </c>
      <c r="AL50" s="36">
        <v>0</v>
      </c>
      <c r="AM50" s="36">
        <f t="shared" si="10"/>
        <v>26</v>
      </c>
      <c r="AN50" s="44">
        <f t="shared" si="2"/>
        <v>26</v>
      </c>
      <c r="AO50" s="45" t="s">
        <v>298</v>
      </c>
      <c r="AP50" s="37" t="s">
        <v>300</v>
      </c>
      <c r="AQ50" s="46" t="s">
        <v>44</v>
      </c>
      <c r="AR50" s="47">
        <v>17000</v>
      </c>
      <c r="AS50" s="48" t="s">
        <v>301</v>
      </c>
      <c r="AT50" s="49">
        <v>17000</v>
      </c>
      <c r="AU50" s="36">
        <v>14000</v>
      </c>
      <c r="AV50" s="50">
        <f t="shared" si="8"/>
        <v>14000</v>
      </c>
      <c r="AW50" s="51">
        <f t="shared" si="9"/>
        <v>14000</v>
      </c>
      <c r="AX50" s="50">
        <f t="shared" si="4"/>
        <v>0</v>
      </c>
      <c r="AY50" s="52">
        <f t="shared" si="5"/>
        <v>3000</v>
      </c>
      <c r="AZ50" s="53">
        <v>46270</v>
      </c>
      <c r="BA50" s="54" t="s">
        <v>44</v>
      </c>
    </row>
    <row r="51" spans="1:53" ht="14.25" customHeight="1">
      <c r="A51" s="36">
        <v>49</v>
      </c>
      <c r="B51" s="37" t="s">
        <v>122</v>
      </c>
      <c r="C51" s="37" t="s">
        <v>123</v>
      </c>
      <c r="D51" s="19" t="s">
        <v>67</v>
      </c>
      <c r="E51" s="23"/>
      <c r="F51" s="36" t="s">
        <v>67</v>
      </c>
      <c r="G51" s="36" t="s">
        <v>67</v>
      </c>
      <c r="H51" s="36" t="s">
        <v>67</v>
      </c>
      <c r="I51" s="36" t="s">
        <v>67</v>
      </c>
      <c r="J51" s="36" t="s">
        <v>67</v>
      </c>
      <c r="K51" s="19" t="s">
        <v>73</v>
      </c>
      <c r="L51" s="23"/>
      <c r="M51" s="36" t="s">
        <v>67</v>
      </c>
      <c r="N51" s="36" t="s">
        <v>67</v>
      </c>
      <c r="O51" s="36" t="s">
        <v>67</v>
      </c>
      <c r="P51" s="36" t="s">
        <v>67</v>
      </c>
      <c r="Q51" s="36" t="s">
        <v>67</v>
      </c>
      <c r="R51" s="19" t="s">
        <v>67</v>
      </c>
      <c r="S51" s="23"/>
      <c r="T51" s="36" t="s">
        <v>67</v>
      </c>
      <c r="U51" s="36" t="s">
        <v>67</v>
      </c>
      <c r="V51" s="36" t="s">
        <v>67</v>
      </c>
      <c r="W51" s="36" t="s">
        <v>67</v>
      </c>
      <c r="X51" s="36" t="s">
        <v>67</v>
      </c>
      <c r="Y51" s="19" t="s">
        <v>73</v>
      </c>
      <c r="Z51" s="23"/>
      <c r="AA51" s="36" t="s">
        <v>67</v>
      </c>
      <c r="AB51" s="36" t="s">
        <v>67</v>
      </c>
      <c r="AC51" s="36" t="s">
        <v>74</v>
      </c>
      <c r="AD51" s="36" t="s">
        <v>67</v>
      </c>
      <c r="AE51" s="36" t="s">
        <v>67</v>
      </c>
      <c r="AF51" s="19" t="s">
        <v>73</v>
      </c>
      <c r="AG51" s="23"/>
      <c r="AH51" s="36" t="s">
        <v>67</v>
      </c>
      <c r="AI51" s="36">
        <v>3</v>
      </c>
      <c r="AJ51" s="36">
        <v>3</v>
      </c>
      <c r="AK51" s="43">
        <f t="shared" si="0"/>
        <v>23</v>
      </c>
      <c r="AL51" s="36">
        <v>0</v>
      </c>
      <c r="AM51" s="36">
        <f t="shared" si="10"/>
        <v>26</v>
      </c>
      <c r="AN51" s="44">
        <f t="shared" si="2"/>
        <v>26</v>
      </c>
      <c r="AO51" s="45" t="s">
        <v>122</v>
      </c>
      <c r="AP51" s="37" t="s">
        <v>123</v>
      </c>
      <c r="AQ51" s="46" t="s">
        <v>27</v>
      </c>
      <c r="AR51" s="47">
        <v>22000</v>
      </c>
      <c r="AS51" s="48" t="s">
        <v>302</v>
      </c>
      <c r="AT51" s="49">
        <v>22000</v>
      </c>
      <c r="AU51" s="36">
        <v>14000</v>
      </c>
      <c r="AV51" s="50">
        <f t="shared" si="8"/>
        <v>14000</v>
      </c>
      <c r="AW51" s="51">
        <f t="shared" si="9"/>
        <v>14000</v>
      </c>
      <c r="AX51" s="50">
        <f t="shared" si="4"/>
        <v>0</v>
      </c>
      <c r="AY51" s="52">
        <f t="shared" si="5"/>
        <v>8000</v>
      </c>
      <c r="AZ51" s="54" t="s">
        <v>303</v>
      </c>
      <c r="BA51" s="54" t="s">
        <v>8</v>
      </c>
    </row>
    <row r="52" spans="1:53" ht="14.25" customHeight="1">
      <c r="A52" s="36">
        <v>50</v>
      </c>
      <c r="B52" s="37" t="s">
        <v>125</v>
      </c>
      <c r="C52" s="37" t="s">
        <v>304</v>
      </c>
      <c r="D52" s="19" t="s">
        <v>67</v>
      </c>
      <c r="E52" s="23"/>
      <c r="F52" s="36" t="s">
        <v>67</v>
      </c>
      <c r="G52" s="36" t="s">
        <v>67</v>
      </c>
      <c r="H52" s="36" t="s">
        <v>67</v>
      </c>
      <c r="I52" s="36" t="s">
        <v>67</v>
      </c>
      <c r="J52" s="36" t="s">
        <v>70</v>
      </c>
      <c r="K52" s="19" t="s">
        <v>73</v>
      </c>
      <c r="L52" s="23"/>
      <c r="M52" s="36" t="s">
        <v>67</v>
      </c>
      <c r="N52" s="36" t="s">
        <v>67</v>
      </c>
      <c r="O52" s="36" t="s">
        <v>67</v>
      </c>
      <c r="P52" s="36" t="s">
        <v>67</v>
      </c>
      <c r="Q52" s="36" t="s">
        <v>67</v>
      </c>
      <c r="R52" s="19" t="s">
        <v>67</v>
      </c>
      <c r="S52" s="23"/>
      <c r="T52" s="36" t="s">
        <v>67</v>
      </c>
      <c r="U52" s="36" t="s">
        <v>67</v>
      </c>
      <c r="V52" s="36" t="s">
        <v>67</v>
      </c>
      <c r="W52" s="36" t="s">
        <v>67</v>
      </c>
      <c r="X52" s="36" t="s">
        <v>67</v>
      </c>
      <c r="Y52" s="19" t="s">
        <v>73</v>
      </c>
      <c r="Z52" s="23"/>
      <c r="AA52" s="36" t="s">
        <v>67</v>
      </c>
      <c r="AB52" s="36" t="s">
        <v>67</v>
      </c>
      <c r="AC52" s="36" t="s">
        <v>74</v>
      </c>
      <c r="AD52" s="36" t="s">
        <v>67</v>
      </c>
      <c r="AE52" s="36" t="s">
        <v>67</v>
      </c>
      <c r="AF52" s="19" t="s">
        <v>73</v>
      </c>
      <c r="AG52" s="23"/>
      <c r="AH52" s="36" t="s">
        <v>67</v>
      </c>
      <c r="AI52" s="36">
        <v>3</v>
      </c>
      <c r="AJ52" s="36">
        <v>3</v>
      </c>
      <c r="AK52" s="43">
        <f t="shared" si="0"/>
        <v>22</v>
      </c>
      <c r="AL52" s="36">
        <v>1</v>
      </c>
      <c r="AM52" s="36">
        <f t="shared" si="10"/>
        <v>26</v>
      </c>
      <c r="AN52" s="44">
        <f t="shared" si="2"/>
        <v>25</v>
      </c>
      <c r="AO52" s="45" t="s">
        <v>125</v>
      </c>
      <c r="AP52" s="45" t="s">
        <v>304</v>
      </c>
      <c r="AQ52" s="45" t="s">
        <v>8</v>
      </c>
      <c r="AR52" s="62">
        <v>21000</v>
      </c>
      <c r="AS52" s="45" t="s">
        <v>305</v>
      </c>
      <c r="AT52" s="49"/>
      <c r="AU52" s="36">
        <v>14000</v>
      </c>
      <c r="AV52" s="50">
        <f t="shared" si="8"/>
        <v>13461.538461538461</v>
      </c>
      <c r="AW52" s="51">
        <f t="shared" si="9"/>
        <v>13500</v>
      </c>
      <c r="AX52" s="50">
        <f t="shared" si="4"/>
        <v>38.461538461539021</v>
      </c>
      <c r="AY52" s="52">
        <f t="shared" si="5"/>
        <v>-13500</v>
      </c>
      <c r="AZ52" s="54" t="s">
        <v>306</v>
      </c>
      <c r="BA52" s="54" t="s">
        <v>307</v>
      </c>
    </row>
    <row r="53" spans="1:53" ht="14.25" customHeight="1">
      <c r="A53" s="36">
        <v>51</v>
      </c>
      <c r="B53" s="37" t="s">
        <v>115</v>
      </c>
      <c r="C53" s="37" t="s">
        <v>304</v>
      </c>
      <c r="D53" s="19" t="s">
        <v>70</v>
      </c>
      <c r="E53" s="23"/>
      <c r="F53" s="36" t="s">
        <v>70</v>
      </c>
      <c r="G53" s="36" t="s">
        <v>67</v>
      </c>
      <c r="H53" s="36" t="s">
        <v>67</v>
      </c>
      <c r="I53" s="36" t="s">
        <v>70</v>
      </c>
      <c r="J53" s="36" t="s">
        <v>70</v>
      </c>
      <c r="K53" s="19" t="s">
        <v>70</v>
      </c>
      <c r="L53" s="23"/>
      <c r="M53" s="36" t="s">
        <v>70</v>
      </c>
      <c r="N53" s="36" t="s">
        <v>70</v>
      </c>
      <c r="O53" s="36" t="s">
        <v>67</v>
      </c>
      <c r="P53" s="36" t="s">
        <v>67</v>
      </c>
      <c r="Q53" s="36" t="s">
        <v>67</v>
      </c>
      <c r="R53" s="19" t="s">
        <v>67</v>
      </c>
      <c r="S53" s="23"/>
      <c r="T53" s="36" t="s">
        <v>67</v>
      </c>
      <c r="U53" s="36" t="s">
        <v>67</v>
      </c>
      <c r="V53" s="36" t="s">
        <v>67</v>
      </c>
      <c r="W53" s="36" t="s">
        <v>67</v>
      </c>
      <c r="X53" s="36" t="s">
        <v>67</v>
      </c>
      <c r="Y53" s="19" t="s">
        <v>73</v>
      </c>
      <c r="Z53" s="23"/>
      <c r="AA53" s="36" t="s">
        <v>67</v>
      </c>
      <c r="AB53" s="36" t="s">
        <v>67</v>
      </c>
      <c r="AC53" s="36" t="s">
        <v>74</v>
      </c>
      <c r="AD53" s="36" t="s">
        <v>67</v>
      </c>
      <c r="AE53" s="36" t="s">
        <v>67</v>
      </c>
      <c r="AF53" s="19" t="s">
        <v>73</v>
      </c>
      <c r="AG53" s="23"/>
      <c r="AH53" s="36" t="s">
        <v>67</v>
      </c>
      <c r="AI53" s="36">
        <v>3</v>
      </c>
      <c r="AJ53" s="36">
        <v>2</v>
      </c>
      <c r="AK53" s="43">
        <f t="shared" si="0"/>
        <v>17</v>
      </c>
      <c r="AL53" s="36">
        <v>5</v>
      </c>
      <c r="AM53" s="36">
        <f t="shared" si="10"/>
        <v>25</v>
      </c>
      <c r="AN53" s="44">
        <f t="shared" si="2"/>
        <v>19</v>
      </c>
      <c r="AO53" s="45" t="s">
        <v>115</v>
      </c>
      <c r="AP53" s="45" t="s">
        <v>304</v>
      </c>
      <c r="AQ53" s="45" t="s">
        <v>8</v>
      </c>
      <c r="AR53" s="62">
        <v>21000</v>
      </c>
      <c r="AS53" s="45" t="s">
        <v>305</v>
      </c>
      <c r="AT53" s="49"/>
      <c r="AU53" s="36">
        <v>16000</v>
      </c>
      <c r="AV53" s="50">
        <f t="shared" si="8"/>
        <v>12160</v>
      </c>
      <c r="AW53" s="51">
        <f t="shared" si="9"/>
        <v>12200</v>
      </c>
      <c r="AX53" s="50">
        <f t="shared" si="4"/>
        <v>40</v>
      </c>
      <c r="AY53" s="52">
        <f t="shared" si="5"/>
        <v>-12200</v>
      </c>
      <c r="AZ53" s="54" t="s">
        <v>308</v>
      </c>
      <c r="BA53" s="54" t="s">
        <v>309</v>
      </c>
    </row>
    <row r="54" spans="1:53" ht="14.25" customHeight="1">
      <c r="A54" s="36">
        <v>52</v>
      </c>
      <c r="B54" s="37" t="s">
        <v>126</v>
      </c>
      <c r="C54" s="37" t="s">
        <v>310</v>
      </c>
      <c r="D54" s="19" t="s">
        <v>67</v>
      </c>
      <c r="E54" s="23"/>
      <c r="F54" s="36" t="s">
        <v>67</v>
      </c>
      <c r="G54" s="36" t="s">
        <v>67</v>
      </c>
      <c r="H54" s="36" t="s">
        <v>67</v>
      </c>
      <c r="I54" s="36" t="s">
        <v>67</v>
      </c>
      <c r="J54" s="36" t="s">
        <v>67</v>
      </c>
      <c r="K54" s="19" t="s">
        <v>73</v>
      </c>
      <c r="L54" s="23"/>
      <c r="M54" s="36" t="s">
        <v>67</v>
      </c>
      <c r="N54" s="36" t="s">
        <v>67</v>
      </c>
      <c r="O54" s="36" t="s">
        <v>67</v>
      </c>
      <c r="P54" s="36" t="s">
        <v>67</v>
      </c>
      <c r="Q54" s="36" t="s">
        <v>67</v>
      </c>
      <c r="R54" s="19" t="s">
        <v>67</v>
      </c>
      <c r="S54" s="23"/>
      <c r="T54" s="36" t="s">
        <v>67</v>
      </c>
      <c r="U54" s="36" t="s">
        <v>67</v>
      </c>
      <c r="V54" s="36" t="s">
        <v>67</v>
      </c>
      <c r="W54" s="36" t="s">
        <v>67</v>
      </c>
      <c r="X54" s="36" t="s">
        <v>67</v>
      </c>
      <c r="Y54" s="19" t="s">
        <v>73</v>
      </c>
      <c r="Z54" s="23"/>
      <c r="AA54" s="36" t="s">
        <v>67</v>
      </c>
      <c r="AB54" s="36" t="s">
        <v>67</v>
      </c>
      <c r="AC54" s="36" t="s">
        <v>74</v>
      </c>
      <c r="AD54" s="36" t="s">
        <v>67</v>
      </c>
      <c r="AE54" s="36" t="s">
        <v>67</v>
      </c>
      <c r="AF54" s="19" t="s">
        <v>73</v>
      </c>
      <c r="AG54" s="23"/>
      <c r="AH54" s="36" t="s">
        <v>67</v>
      </c>
      <c r="AI54" s="36">
        <v>3</v>
      </c>
      <c r="AJ54" s="36">
        <v>3</v>
      </c>
      <c r="AK54" s="43">
        <f t="shared" si="0"/>
        <v>23</v>
      </c>
      <c r="AL54" s="36">
        <v>0</v>
      </c>
      <c r="AM54" s="36">
        <f t="shared" si="10"/>
        <v>26</v>
      </c>
      <c r="AN54" s="44">
        <f t="shared" si="2"/>
        <v>26</v>
      </c>
      <c r="AO54" s="45" t="s">
        <v>126</v>
      </c>
      <c r="AP54" s="37" t="s">
        <v>310</v>
      </c>
      <c r="AQ54" s="46" t="s">
        <v>126</v>
      </c>
      <c r="AR54" s="47">
        <v>20000</v>
      </c>
      <c r="AS54" s="48" t="s">
        <v>250</v>
      </c>
      <c r="AT54" s="49">
        <v>22000</v>
      </c>
      <c r="AU54" s="36">
        <v>19000</v>
      </c>
      <c r="AV54" s="50">
        <f t="shared" si="8"/>
        <v>19000</v>
      </c>
      <c r="AW54" s="51">
        <f t="shared" si="9"/>
        <v>19000</v>
      </c>
      <c r="AX54" s="50">
        <f t="shared" si="4"/>
        <v>0</v>
      </c>
      <c r="AY54" s="52">
        <f t="shared" si="5"/>
        <v>3000</v>
      </c>
      <c r="AZ54" s="54" t="s">
        <v>311</v>
      </c>
      <c r="BA54" s="54" t="s">
        <v>312</v>
      </c>
    </row>
    <row r="55" spans="1:53" ht="14.25" customHeight="1">
      <c r="A55" s="36">
        <v>53</v>
      </c>
      <c r="B55" s="37" t="s">
        <v>127</v>
      </c>
      <c r="C55" s="37" t="s">
        <v>313</v>
      </c>
      <c r="D55" s="19" t="s">
        <v>67</v>
      </c>
      <c r="E55" s="23"/>
      <c r="F55" s="36" t="s">
        <v>67</v>
      </c>
      <c r="G55" s="36" t="s">
        <v>67</v>
      </c>
      <c r="H55" s="36" t="s">
        <v>67</v>
      </c>
      <c r="I55" s="36" t="s">
        <v>67</v>
      </c>
      <c r="J55" s="36" t="s">
        <v>67</v>
      </c>
      <c r="K55" s="19" t="s">
        <v>73</v>
      </c>
      <c r="L55" s="23"/>
      <c r="M55" s="36" t="s">
        <v>67</v>
      </c>
      <c r="N55" s="36" t="s">
        <v>67</v>
      </c>
      <c r="O55" s="36" t="s">
        <v>67</v>
      </c>
      <c r="P55" s="36" t="s">
        <v>67</v>
      </c>
      <c r="Q55" s="36" t="s">
        <v>67</v>
      </c>
      <c r="R55" s="19" t="s">
        <v>67</v>
      </c>
      <c r="S55" s="23"/>
      <c r="T55" s="36" t="s">
        <v>67</v>
      </c>
      <c r="U55" s="36" t="s">
        <v>67</v>
      </c>
      <c r="V55" s="36" t="s">
        <v>67</v>
      </c>
      <c r="W55" s="36" t="s">
        <v>67</v>
      </c>
      <c r="X55" s="36" t="s">
        <v>67</v>
      </c>
      <c r="Y55" s="19" t="s">
        <v>70</v>
      </c>
      <c r="Z55" s="23"/>
      <c r="AA55" s="36" t="s">
        <v>67</v>
      </c>
      <c r="AB55" s="36" t="s">
        <v>67</v>
      </c>
      <c r="AC55" s="36" t="s">
        <v>74</v>
      </c>
      <c r="AD55" s="36" t="s">
        <v>67</v>
      </c>
      <c r="AE55" s="36" t="s">
        <v>67</v>
      </c>
      <c r="AF55" s="19" t="s">
        <v>73</v>
      </c>
      <c r="AG55" s="23"/>
      <c r="AH55" s="36" t="s">
        <v>67</v>
      </c>
      <c r="AI55" s="36">
        <v>3</v>
      </c>
      <c r="AJ55" s="36">
        <v>2</v>
      </c>
      <c r="AK55" s="43">
        <f t="shared" si="0"/>
        <v>23</v>
      </c>
      <c r="AL55" s="36">
        <v>0</v>
      </c>
      <c r="AM55" s="36">
        <f t="shared" si="10"/>
        <v>26</v>
      </c>
      <c r="AN55" s="44">
        <f t="shared" si="2"/>
        <v>25</v>
      </c>
      <c r="AO55" s="45" t="s">
        <v>127</v>
      </c>
      <c r="AP55" s="37" t="s">
        <v>313</v>
      </c>
      <c r="AQ55" s="46" t="s">
        <v>314</v>
      </c>
      <c r="AR55" s="47">
        <v>20000</v>
      </c>
      <c r="AS55" s="48" t="s">
        <v>250</v>
      </c>
      <c r="AT55" s="49">
        <v>22000</v>
      </c>
      <c r="AU55" s="36">
        <v>18000</v>
      </c>
      <c r="AV55" s="50">
        <f t="shared" si="8"/>
        <v>17307.692307692305</v>
      </c>
      <c r="AW55" s="51">
        <f t="shared" si="9"/>
        <v>17350</v>
      </c>
      <c r="AX55" s="50">
        <f t="shared" si="4"/>
        <v>42.307692307695106</v>
      </c>
      <c r="AY55" s="52">
        <f t="shared" si="5"/>
        <v>4650</v>
      </c>
      <c r="AZ55" s="54" t="s">
        <v>315</v>
      </c>
      <c r="BA55" s="54" t="s">
        <v>312</v>
      </c>
    </row>
    <row r="56" spans="1:53" ht="14.25" customHeight="1">
      <c r="A56" s="36">
        <v>54</v>
      </c>
      <c r="B56" s="37" t="s">
        <v>316</v>
      </c>
      <c r="C56" s="37" t="s">
        <v>128</v>
      </c>
      <c r="D56" s="19" t="s">
        <v>67</v>
      </c>
      <c r="E56" s="23"/>
      <c r="F56" s="36" t="s">
        <v>67</v>
      </c>
      <c r="G56" s="36" t="s">
        <v>67</v>
      </c>
      <c r="H56" s="36" t="s">
        <v>67</v>
      </c>
      <c r="I56" s="36" t="s">
        <v>67</v>
      </c>
      <c r="J56" s="36" t="s">
        <v>67</v>
      </c>
      <c r="K56" s="19" t="s">
        <v>73</v>
      </c>
      <c r="L56" s="23"/>
      <c r="M56" s="36" t="s">
        <v>67</v>
      </c>
      <c r="N56" s="36" t="s">
        <v>67</v>
      </c>
      <c r="O56" s="36" t="s">
        <v>67</v>
      </c>
      <c r="P56" s="36" t="s">
        <v>67</v>
      </c>
      <c r="Q56" s="36" t="s">
        <v>67</v>
      </c>
      <c r="R56" s="19" t="s">
        <v>67</v>
      </c>
      <c r="S56" s="23"/>
      <c r="T56" s="36" t="s">
        <v>67</v>
      </c>
      <c r="U56" s="36" t="s">
        <v>67</v>
      </c>
      <c r="V56" s="36" t="s">
        <v>67</v>
      </c>
      <c r="W56" s="36" t="s">
        <v>67</v>
      </c>
      <c r="X56" s="36" t="s">
        <v>67</v>
      </c>
      <c r="Y56" s="19" t="s">
        <v>73</v>
      </c>
      <c r="Z56" s="23"/>
      <c r="AA56" s="36" t="s">
        <v>67</v>
      </c>
      <c r="AB56" s="36" t="s">
        <v>67</v>
      </c>
      <c r="AC56" s="36" t="s">
        <v>74</v>
      </c>
      <c r="AD56" s="36" t="s">
        <v>67</v>
      </c>
      <c r="AE56" s="36" t="s">
        <v>67</v>
      </c>
      <c r="AF56" s="19" t="s">
        <v>70</v>
      </c>
      <c r="AG56" s="23"/>
      <c r="AH56" s="36" t="s">
        <v>70</v>
      </c>
      <c r="AI56" s="36">
        <v>3</v>
      </c>
      <c r="AJ56" s="36">
        <v>2</v>
      </c>
      <c r="AK56" s="43">
        <f t="shared" si="0"/>
        <v>22</v>
      </c>
      <c r="AL56" s="36">
        <v>1</v>
      </c>
      <c r="AM56" s="36">
        <f t="shared" si="10"/>
        <v>26</v>
      </c>
      <c r="AN56" s="44">
        <f t="shared" si="2"/>
        <v>24</v>
      </c>
      <c r="AO56" s="45" t="s">
        <v>316</v>
      </c>
      <c r="AP56" s="37" t="s">
        <v>128</v>
      </c>
      <c r="AQ56" s="46" t="s">
        <v>185</v>
      </c>
      <c r="AR56" s="47">
        <v>20000</v>
      </c>
      <c r="AS56" s="48" t="s">
        <v>317</v>
      </c>
      <c r="AT56" s="49">
        <v>19330</v>
      </c>
      <c r="AU56" s="36">
        <v>15000</v>
      </c>
      <c r="AV56" s="50">
        <f t="shared" si="8"/>
        <v>13846.153846153846</v>
      </c>
      <c r="AW56" s="51">
        <f t="shared" si="9"/>
        <v>13850</v>
      </c>
      <c r="AX56" s="50">
        <f t="shared" si="4"/>
        <v>3.8461538461542659</v>
      </c>
      <c r="AY56" s="52">
        <f t="shared" si="5"/>
        <v>5480</v>
      </c>
      <c r="AZ56" s="54" t="s">
        <v>318</v>
      </c>
      <c r="BA56" s="54" t="s">
        <v>27</v>
      </c>
    </row>
    <row r="57" spans="1:53" ht="14.25" customHeight="1">
      <c r="A57" s="36">
        <v>55</v>
      </c>
      <c r="B57" s="37" t="s">
        <v>129</v>
      </c>
      <c r="C57" s="37" t="s">
        <v>128</v>
      </c>
      <c r="D57" s="19" t="s">
        <v>67</v>
      </c>
      <c r="E57" s="23"/>
      <c r="F57" s="36" t="s">
        <v>67</v>
      </c>
      <c r="G57" s="36" t="s">
        <v>67</v>
      </c>
      <c r="H57" s="36" t="s">
        <v>67</v>
      </c>
      <c r="I57" s="36" t="s">
        <v>70</v>
      </c>
      <c r="J57" s="36" t="s">
        <v>70</v>
      </c>
      <c r="K57" s="19" t="s">
        <v>70</v>
      </c>
      <c r="L57" s="23"/>
      <c r="M57" s="36" t="s">
        <v>67</v>
      </c>
      <c r="N57" s="36" t="s">
        <v>67</v>
      </c>
      <c r="O57" s="36" t="s">
        <v>67</v>
      </c>
      <c r="P57" s="36" t="s">
        <v>67</v>
      </c>
      <c r="Q57" s="36" t="s">
        <v>67</v>
      </c>
      <c r="R57" s="19" t="s">
        <v>67</v>
      </c>
      <c r="S57" s="23"/>
      <c r="T57" s="36" t="s">
        <v>67</v>
      </c>
      <c r="U57" s="36" t="s">
        <v>67</v>
      </c>
      <c r="V57" s="36" t="s">
        <v>67</v>
      </c>
      <c r="W57" s="36" t="s">
        <v>67</v>
      </c>
      <c r="X57" s="36" t="s">
        <v>67</v>
      </c>
      <c r="Y57" s="19" t="s">
        <v>73</v>
      </c>
      <c r="Z57" s="23"/>
      <c r="AA57" s="36" t="s">
        <v>67</v>
      </c>
      <c r="AB57" s="36" t="s">
        <v>67</v>
      </c>
      <c r="AC57" s="36" t="s">
        <v>74</v>
      </c>
      <c r="AD57" s="36" t="s">
        <v>67</v>
      </c>
      <c r="AE57" s="36" t="s">
        <v>67</v>
      </c>
      <c r="AF57" s="19" t="s">
        <v>73</v>
      </c>
      <c r="AG57" s="23"/>
      <c r="AH57" s="36" t="s">
        <v>67</v>
      </c>
      <c r="AI57" s="36">
        <v>3</v>
      </c>
      <c r="AJ57" s="36">
        <v>2</v>
      </c>
      <c r="AK57" s="43">
        <f t="shared" si="0"/>
        <v>21</v>
      </c>
      <c r="AL57" s="36">
        <v>2</v>
      </c>
      <c r="AM57" s="36">
        <f t="shared" si="10"/>
        <v>26</v>
      </c>
      <c r="AN57" s="44">
        <f t="shared" si="2"/>
        <v>23</v>
      </c>
      <c r="AO57" s="45" t="s">
        <v>129</v>
      </c>
      <c r="AP57" s="37" t="s">
        <v>128</v>
      </c>
      <c r="AQ57" s="46" t="s">
        <v>155</v>
      </c>
      <c r="AR57" s="47">
        <v>20000</v>
      </c>
      <c r="AS57" s="48" t="s">
        <v>319</v>
      </c>
      <c r="AT57" s="49">
        <v>18670</v>
      </c>
      <c r="AU57" s="36">
        <v>14000</v>
      </c>
      <c r="AV57" s="50">
        <f t="shared" si="8"/>
        <v>12384.615384615385</v>
      </c>
      <c r="AW57" s="51">
        <f t="shared" si="9"/>
        <v>12400</v>
      </c>
      <c r="AX57" s="50">
        <f t="shared" si="4"/>
        <v>15.384615384615245</v>
      </c>
      <c r="AY57" s="52">
        <f t="shared" si="5"/>
        <v>6270</v>
      </c>
      <c r="AZ57" s="53">
        <v>46276</v>
      </c>
      <c r="BA57" s="54" t="s">
        <v>320</v>
      </c>
    </row>
    <row r="58" spans="1:53" ht="14.25" customHeight="1">
      <c r="A58" s="36">
        <v>56</v>
      </c>
      <c r="B58" s="37" t="s">
        <v>133</v>
      </c>
      <c r="C58" s="37" t="s">
        <v>134</v>
      </c>
      <c r="D58" s="19" t="s">
        <v>67</v>
      </c>
      <c r="E58" s="23"/>
      <c r="F58" s="36" t="s">
        <v>67</v>
      </c>
      <c r="G58" s="36" t="s">
        <v>67</v>
      </c>
      <c r="H58" s="36" t="s">
        <v>67</v>
      </c>
      <c r="I58" s="36" t="s">
        <v>67</v>
      </c>
      <c r="J58" s="36" t="s">
        <v>67</v>
      </c>
      <c r="K58" s="19" t="s">
        <v>73</v>
      </c>
      <c r="L58" s="23"/>
      <c r="M58" s="36" t="s">
        <v>67</v>
      </c>
      <c r="N58" s="36" t="s">
        <v>67</v>
      </c>
      <c r="O58" s="36" t="s">
        <v>67</v>
      </c>
      <c r="P58" s="36" t="s">
        <v>67</v>
      </c>
      <c r="Q58" s="36" t="s">
        <v>67</v>
      </c>
      <c r="R58" s="19" t="s">
        <v>67</v>
      </c>
      <c r="S58" s="23"/>
      <c r="T58" s="36" t="s">
        <v>67</v>
      </c>
      <c r="U58" s="36" t="s">
        <v>67</v>
      </c>
      <c r="V58" s="36" t="s">
        <v>67</v>
      </c>
      <c r="W58" s="36" t="s">
        <v>67</v>
      </c>
      <c r="X58" s="36" t="s">
        <v>67</v>
      </c>
      <c r="Y58" s="19" t="s">
        <v>73</v>
      </c>
      <c r="Z58" s="23"/>
      <c r="AA58" s="36" t="s">
        <v>67</v>
      </c>
      <c r="AB58" s="36" t="s">
        <v>67</v>
      </c>
      <c r="AC58" s="36" t="s">
        <v>74</v>
      </c>
      <c r="AD58" s="36" t="s">
        <v>67</v>
      </c>
      <c r="AE58" s="36" t="s">
        <v>67</v>
      </c>
      <c r="AF58" s="19" t="s">
        <v>73</v>
      </c>
      <c r="AG58" s="23"/>
      <c r="AH58" s="36" t="s">
        <v>67</v>
      </c>
      <c r="AI58" s="36">
        <v>3</v>
      </c>
      <c r="AJ58" s="36">
        <v>3</v>
      </c>
      <c r="AK58" s="43">
        <f t="shared" si="0"/>
        <v>23</v>
      </c>
      <c r="AL58" s="36">
        <v>0</v>
      </c>
      <c r="AM58" s="36">
        <f t="shared" si="10"/>
        <v>26</v>
      </c>
      <c r="AN58" s="44">
        <f t="shared" si="2"/>
        <v>26</v>
      </c>
      <c r="AO58" s="45" t="s">
        <v>133</v>
      </c>
      <c r="AP58" s="37" t="s">
        <v>134</v>
      </c>
      <c r="AQ58" s="46" t="s">
        <v>155</v>
      </c>
      <c r="AR58" s="47">
        <v>22000</v>
      </c>
      <c r="AS58" s="48" t="s">
        <v>319</v>
      </c>
      <c r="AT58" s="49">
        <v>21270</v>
      </c>
      <c r="AU58" s="36">
        <v>14000</v>
      </c>
      <c r="AV58" s="50">
        <f t="shared" si="8"/>
        <v>14000</v>
      </c>
      <c r="AW58" s="51">
        <f t="shared" si="9"/>
        <v>14000</v>
      </c>
      <c r="AX58" s="50">
        <f t="shared" si="4"/>
        <v>0</v>
      </c>
      <c r="AY58" s="52">
        <f t="shared" si="5"/>
        <v>7270</v>
      </c>
      <c r="AZ58" s="54" t="s">
        <v>321</v>
      </c>
      <c r="BA58" s="54" t="s">
        <v>8</v>
      </c>
    </row>
    <row r="59" spans="1:53" ht="14.25" customHeight="1">
      <c r="A59" s="36">
        <v>57</v>
      </c>
      <c r="B59" s="37" t="s">
        <v>135</v>
      </c>
      <c r="C59" s="37" t="s">
        <v>134</v>
      </c>
      <c r="D59" s="19" t="s">
        <v>67</v>
      </c>
      <c r="E59" s="23"/>
      <c r="F59" s="36" t="s">
        <v>67</v>
      </c>
      <c r="G59" s="36" t="s">
        <v>70</v>
      </c>
      <c r="H59" s="36" t="s">
        <v>70</v>
      </c>
      <c r="I59" s="36" t="s">
        <v>70</v>
      </c>
      <c r="J59" s="36" t="s">
        <v>70</v>
      </c>
      <c r="K59" s="19" t="s">
        <v>70</v>
      </c>
      <c r="L59" s="23"/>
      <c r="M59" s="36" t="s">
        <v>67</v>
      </c>
      <c r="N59" s="36" t="s">
        <v>67</v>
      </c>
      <c r="O59" s="36" t="s">
        <v>67</v>
      </c>
      <c r="P59" s="36" t="s">
        <v>67</v>
      </c>
      <c r="Q59" s="36" t="s">
        <v>67</v>
      </c>
      <c r="R59" s="19" t="s">
        <v>67</v>
      </c>
      <c r="S59" s="23"/>
      <c r="T59" s="36" t="s">
        <v>67</v>
      </c>
      <c r="U59" s="36" t="s">
        <v>67</v>
      </c>
      <c r="V59" s="36" t="s">
        <v>67</v>
      </c>
      <c r="W59" s="36" t="s">
        <v>67</v>
      </c>
      <c r="X59" s="36" t="s">
        <v>67</v>
      </c>
      <c r="Y59" s="19" t="s">
        <v>70</v>
      </c>
      <c r="Z59" s="23"/>
      <c r="AA59" s="36" t="s">
        <v>67</v>
      </c>
      <c r="AB59" s="36" t="s">
        <v>67</v>
      </c>
      <c r="AC59" s="36" t="s">
        <v>74</v>
      </c>
      <c r="AD59" s="36" t="s">
        <v>67</v>
      </c>
      <c r="AE59" s="36" t="s">
        <v>67</v>
      </c>
      <c r="AF59" s="19" t="s">
        <v>73</v>
      </c>
      <c r="AG59" s="23"/>
      <c r="AH59" s="36" t="s">
        <v>67</v>
      </c>
      <c r="AI59" s="36">
        <v>3</v>
      </c>
      <c r="AJ59" s="36">
        <v>1</v>
      </c>
      <c r="AK59" s="43">
        <f t="shared" si="0"/>
        <v>19</v>
      </c>
      <c r="AL59" s="36">
        <v>4</v>
      </c>
      <c r="AM59" s="36">
        <f t="shared" si="10"/>
        <v>26</v>
      </c>
      <c r="AN59" s="44">
        <f t="shared" si="2"/>
        <v>20</v>
      </c>
      <c r="AO59" s="45" t="s">
        <v>135</v>
      </c>
      <c r="AP59" s="37" t="s">
        <v>134</v>
      </c>
      <c r="AQ59" s="46" t="s">
        <v>185</v>
      </c>
      <c r="AR59" s="47">
        <v>22000</v>
      </c>
      <c r="AS59" s="48" t="s">
        <v>317</v>
      </c>
      <c r="AT59" s="49">
        <v>16130</v>
      </c>
      <c r="AU59" s="36">
        <v>14000</v>
      </c>
      <c r="AV59" s="50">
        <f t="shared" si="8"/>
        <v>10769.23076923077</v>
      </c>
      <c r="AW59" s="51">
        <f t="shared" si="9"/>
        <v>10800</v>
      </c>
      <c r="AX59" s="50">
        <f t="shared" si="4"/>
        <v>30.769230769230489</v>
      </c>
      <c r="AY59" s="52">
        <f t="shared" si="5"/>
        <v>5330</v>
      </c>
      <c r="AZ59" s="54" t="s">
        <v>322</v>
      </c>
      <c r="BA59" s="54" t="s">
        <v>150</v>
      </c>
    </row>
    <row r="60" spans="1:53" ht="14.25" customHeight="1">
      <c r="A60" s="36">
        <v>58</v>
      </c>
      <c r="B60" s="37" t="s">
        <v>323</v>
      </c>
      <c r="C60" s="37" t="s">
        <v>134</v>
      </c>
      <c r="D60" s="19" t="s">
        <v>67</v>
      </c>
      <c r="E60" s="23"/>
      <c r="F60" s="36" t="s">
        <v>67</v>
      </c>
      <c r="G60" s="36" t="s">
        <v>67</v>
      </c>
      <c r="H60" s="36" t="s">
        <v>67</v>
      </c>
      <c r="I60" s="36" t="s">
        <v>67</v>
      </c>
      <c r="J60" s="36" t="s">
        <v>67</v>
      </c>
      <c r="K60" s="19" t="s">
        <v>70</v>
      </c>
      <c r="L60" s="23"/>
      <c r="M60" s="36" t="s">
        <v>171</v>
      </c>
      <c r="N60" s="36" t="s">
        <v>67</v>
      </c>
      <c r="O60" s="36" t="s">
        <v>67</v>
      </c>
      <c r="P60" s="36" t="s">
        <v>67</v>
      </c>
      <c r="Q60" s="36" t="s">
        <v>67</v>
      </c>
      <c r="R60" s="19" t="s">
        <v>67</v>
      </c>
      <c r="S60" s="23"/>
      <c r="T60" s="36" t="s">
        <v>67</v>
      </c>
      <c r="U60" s="36" t="s">
        <v>67</v>
      </c>
      <c r="V60" s="36" t="s">
        <v>67</v>
      </c>
      <c r="W60" s="36" t="s">
        <v>67</v>
      </c>
      <c r="X60" s="36" t="s">
        <v>67</v>
      </c>
      <c r="Y60" s="19" t="s">
        <v>73</v>
      </c>
      <c r="Z60" s="23"/>
      <c r="AA60" s="36" t="s">
        <v>67</v>
      </c>
      <c r="AB60" s="36" t="s">
        <v>67</v>
      </c>
      <c r="AC60" s="36" t="s">
        <v>74</v>
      </c>
      <c r="AD60" s="36" t="s">
        <v>67</v>
      </c>
      <c r="AE60" s="36" t="s">
        <v>67</v>
      </c>
      <c r="AF60" s="19" t="s">
        <v>73</v>
      </c>
      <c r="AG60" s="23"/>
      <c r="AH60" s="36" t="s">
        <v>67</v>
      </c>
      <c r="AI60" s="36">
        <v>3</v>
      </c>
      <c r="AJ60" s="36">
        <v>2</v>
      </c>
      <c r="AK60" s="43">
        <f t="shared" si="0"/>
        <v>22.5</v>
      </c>
      <c r="AL60" s="36">
        <v>0.5</v>
      </c>
      <c r="AM60" s="36">
        <f t="shared" si="10"/>
        <v>26</v>
      </c>
      <c r="AN60" s="44">
        <f t="shared" si="2"/>
        <v>24.5</v>
      </c>
      <c r="AO60" s="45" t="s">
        <v>323</v>
      </c>
      <c r="AP60" s="37" t="s">
        <v>134</v>
      </c>
      <c r="AQ60" s="46" t="s">
        <v>155</v>
      </c>
      <c r="AR60" s="47">
        <v>20000</v>
      </c>
      <c r="AS60" s="48" t="s">
        <v>319</v>
      </c>
      <c r="AT60" s="49">
        <v>20900</v>
      </c>
      <c r="AU60" s="36">
        <v>14000</v>
      </c>
      <c r="AV60" s="50">
        <f t="shared" si="8"/>
        <v>13192.307692307691</v>
      </c>
      <c r="AW60" s="51">
        <f t="shared" si="9"/>
        <v>13200</v>
      </c>
      <c r="AX60" s="50">
        <f t="shared" si="4"/>
        <v>7.6923076923085318</v>
      </c>
      <c r="AY60" s="52">
        <f t="shared" si="5"/>
        <v>7700</v>
      </c>
      <c r="AZ60" s="54" t="s">
        <v>324</v>
      </c>
      <c r="BA60" s="54" t="s">
        <v>27</v>
      </c>
    </row>
    <row r="61" spans="1:53" ht="13.5" customHeight="1">
      <c r="A61" s="36">
        <v>59</v>
      </c>
      <c r="B61" s="37" t="s">
        <v>325</v>
      </c>
      <c r="C61" s="37" t="s">
        <v>137</v>
      </c>
      <c r="D61" s="19" t="s">
        <v>67</v>
      </c>
      <c r="E61" s="23"/>
      <c r="F61" s="36" t="s">
        <v>67</v>
      </c>
      <c r="G61" s="36" t="s">
        <v>67</v>
      </c>
      <c r="H61" s="36" t="s">
        <v>67</v>
      </c>
      <c r="I61" s="36" t="s">
        <v>67</v>
      </c>
      <c r="J61" s="36" t="s">
        <v>67</v>
      </c>
      <c r="K61" s="19" t="s">
        <v>73</v>
      </c>
      <c r="L61" s="23"/>
      <c r="M61" s="36" t="s">
        <v>67</v>
      </c>
      <c r="N61" s="36" t="s">
        <v>67</v>
      </c>
      <c r="O61" s="36" t="s">
        <v>70</v>
      </c>
      <c r="P61" s="36" t="s">
        <v>67</v>
      </c>
      <c r="Q61" s="36" t="s">
        <v>67</v>
      </c>
      <c r="R61" s="19" t="s">
        <v>67</v>
      </c>
      <c r="S61" s="23"/>
      <c r="T61" s="36" t="s">
        <v>67</v>
      </c>
      <c r="U61" s="36" t="s">
        <v>67</v>
      </c>
      <c r="V61" s="36" t="s">
        <v>67</v>
      </c>
      <c r="W61" s="36" t="s">
        <v>67</v>
      </c>
      <c r="X61" s="36" t="s">
        <v>67</v>
      </c>
      <c r="Y61" s="19" t="s">
        <v>73</v>
      </c>
      <c r="Z61" s="23"/>
      <c r="AA61" s="36" t="s">
        <v>67</v>
      </c>
      <c r="AB61" s="36" t="s">
        <v>67</v>
      </c>
      <c r="AC61" s="36" t="s">
        <v>74</v>
      </c>
      <c r="AD61" s="36" t="s">
        <v>67</v>
      </c>
      <c r="AE61" s="36" t="s">
        <v>67</v>
      </c>
      <c r="AF61" s="19" t="s">
        <v>73</v>
      </c>
      <c r="AG61" s="23"/>
      <c r="AH61" s="36" t="s">
        <v>67</v>
      </c>
      <c r="AI61" s="36">
        <v>3</v>
      </c>
      <c r="AJ61" s="36">
        <v>3</v>
      </c>
      <c r="AK61" s="43">
        <f t="shared" si="0"/>
        <v>22</v>
      </c>
      <c r="AL61" s="36">
        <v>1</v>
      </c>
      <c r="AM61" s="36">
        <f t="shared" si="10"/>
        <v>26</v>
      </c>
      <c r="AN61" s="44">
        <f t="shared" si="2"/>
        <v>25</v>
      </c>
      <c r="AO61" s="45" t="s">
        <v>325</v>
      </c>
      <c r="AP61" s="37" t="s">
        <v>137</v>
      </c>
      <c r="AQ61" s="46" t="s">
        <v>27</v>
      </c>
      <c r="AR61" s="47">
        <v>22000</v>
      </c>
      <c r="AS61" s="48" t="s">
        <v>326</v>
      </c>
      <c r="AT61" s="49"/>
      <c r="AU61" s="36">
        <v>14000</v>
      </c>
      <c r="AV61" s="50">
        <f t="shared" si="8"/>
        <v>13461.538461538461</v>
      </c>
      <c r="AW61" s="51">
        <f t="shared" si="9"/>
        <v>13500</v>
      </c>
      <c r="AX61" s="50">
        <f t="shared" si="4"/>
        <v>38.461538461539021</v>
      </c>
      <c r="AY61" s="52">
        <f t="shared" si="5"/>
        <v>-13500</v>
      </c>
      <c r="AZ61" s="54" t="s">
        <v>327</v>
      </c>
      <c r="BA61" s="54" t="s">
        <v>150</v>
      </c>
    </row>
    <row r="62" spans="1:53" ht="14.25" customHeight="1">
      <c r="A62" s="36">
        <v>60</v>
      </c>
      <c r="B62" s="37" t="s">
        <v>328</v>
      </c>
      <c r="C62" s="37" t="s">
        <v>139</v>
      </c>
      <c r="D62" s="19" t="s">
        <v>70</v>
      </c>
      <c r="E62" s="23"/>
      <c r="F62" s="36" t="s">
        <v>70</v>
      </c>
      <c r="G62" s="36" t="s">
        <v>70</v>
      </c>
      <c r="H62" s="36" t="s">
        <v>67</v>
      </c>
      <c r="I62" s="36" t="s">
        <v>67</v>
      </c>
      <c r="J62" s="36" t="s">
        <v>70</v>
      </c>
      <c r="K62" s="19" t="s">
        <v>70</v>
      </c>
      <c r="L62" s="23"/>
      <c r="M62" s="36" t="s">
        <v>67</v>
      </c>
      <c r="N62" s="36" t="s">
        <v>67</v>
      </c>
      <c r="O62" s="36" t="s">
        <v>67</v>
      </c>
      <c r="P62" s="36" t="s">
        <v>67</v>
      </c>
      <c r="Q62" s="36" t="s">
        <v>67</v>
      </c>
      <c r="R62" s="19" t="s">
        <v>67</v>
      </c>
      <c r="S62" s="23"/>
      <c r="T62" s="36" t="s">
        <v>67</v>
      </c>
      <c r="U62" s="36" t="s">
        <v>67</v>
      </c>
      <c r="V62" s="36" t="s">
        <v>67</v>
      </c>
      <c r="W62" s="36" t="s">
        <v>67</v>
      </c>
      <c r="X62" s="36" t="s">
        <v>67</v>
      </c>
      <c r="Y62" s="19" t="s">
        <v>70</v>
      </c>
      <c r="Z62" s="23"/>
      <c r="AA62" s="36" t="s">
        <v>67</v>
      </c>
      <c r="AB62" s="36" t="s">
        <v>67</v>
      </c>
      <c r="AC62" s="36" t="s">
        <v>74</v>
      </c>
      <c r="AD62" s="36" t="s">
        <v>67</v>
      </c>
      <c r="AE62" s="36" t="s">
        <v>67</v>
      </c>
      <c r="AF62" s="19" t="s">
        <v>329</v>
      </c>
      <c r="AG62" s="23"/>
      <c r="AH62" s="36" t="s">
        <v>67</v>
      </c>
      <c r="AI62" s="36">
        <v>3</v>
      </c>
      <c r="AJ62" s="36">
        <v>0.5</v>
      </c>
      <c r="AK62" s="43">
        <f t="shared" si="0"/>
        <v>19</v>
      </c>
      <c r="AL62" s="36">
        <v>3</v>
      </c>
      <c r="AM62" s="36">
        <f t="shared" si="10"/>
        <v>25</v>
      </c>
      <c r="AN62" s="44">
        <f t="shared" si="2"/>
        <v>19.5</v>
      </c>
      <c r="AO62" s="45" t="s">
        <v>328</v>
      </c>
      <c r="AP62" s="37" t="s">
        <v>139</v>
      </c>
      <c r="AQ62" s="46" t="s">
        <v>27</v>
      </c>
      <c r="AR62" s="47">
        <v>22000</v>
      </c>
      <c r="AS62" s="48" t="s">
        <v>138</v>
      </c>
      <c r="AT62" s="49"/>
      <c r="AU62" s="36">
        <v>15000</v>
      </c>
      <c r="AV62" s="50">
        <f t="shared" si="8"/>
        <v>11700</v>
      </c>
      <c r="AW62" s="51">
        <f t="shared" si="9"/>
        <v>11700</v>
      </c>
      <c r="AX62" s="50">
        <f t="shared" si="4"/>
        <v>0</v>
      </c>
      <c r="AY62" s="52">
        <f t="shared" si="5"/>
        <v>-11700</v>
      </c>
      <c r="AZ62" s="54" t="s">
        <v>330</v>
      </c>
      <c r="BA62" s="54"/>
    </row>
    <row r="63" spans="1:53" ht="14.25" customHeight="1">
      <c r="A63" s="36">
        <v>61</v>
      </c>
      <c r="B63" s="37" t="s">
        <v>24</v>
      </c>
      <c r="C63" s="37" t="s">
        <v>139</v>
      </c>
      <c r="D63" s="19" t="s">
        <v>67</v>
      </c>
      <c r="E63" s="23"/>
      <c r="F63" s="36" t="s">
        <v>67</v>
      </c>
      <c r="G63" s="36" t="s">
        <v>67</v>
      </c>
      <c r="H63" s="36" t="s">
        <v>67</v>
      </c>
      <c r="I63" s="36" t="s">
        <v>67</v>
      </c>
      <c r="J63" s="36" t="s">
        <v>67</v>
      </c>
      <c r="K63" s="19" t="s">
        <v>73</v>
      </c>
      <c r="L63" s="23"/>
      <c r="M63" s="36" t="s">
        <v>67</v>
      </c>
      <c r="N63" s="36" t="s">
        <v>67</v>
      </c>
      <c r="O63" s="36" t="s">
        <v>67</v>
      </c>
      <c r="P63" s="36" t="s">
        <v>67</v>
      </c>
      <c r="Q63" s="36" t="s">
        <v>67</v>
      </c>
      <c r="R63" s="19" t="s">
        <v>67</v>
      </c>
      <c r="S63" s="23"/>
      <c r="T63" s="36" t="s">
        <v>70</v>
      </c>
      <c r="U63" s="36" t="s">
        <v>67</v>
      </c>
      <c r="V63" s="36" t="s">
        <v>67</v>
      </c>
      <c r="W63" s="36" t="s">
        <v>70</v>
      </c>
      <c r="X63" s="36" t="s">
        <v>67</v>
      </c>
      <c r="Y63" s="19" t="s">
        <v>73</v>
      </c>
      <c r="Z63" s="23"/>
      <c r="AA63" s="36" t="s">
        <v>67</v>
      </c>
      <c r="AB63" s="36" t="s">
        <v>67</v>
      </c>
      <c r="AC63" s="36" t="s">
        <v>74</v>
      </c>
      <c r="AD63" s="36" t="s">
        <v>67</v>
      </c>
      <c r="AE63" s="36" t="s">
        <v>67</v>
      </c>
      <c r="AF63" s="19" t="s">
        <v>73</v>
      </c>
      <c r="AG63" s="23"/>
      <c r="AH63" s="36" t="s">
        <v>67</v>
      </c>
      <c r="AI63" s="36">
        <v>3</v>
      </c>
      <c r="AJ63" s="36">
        <v>3</v>
      </c>
      <c r="AK63" s="43">
        <f t="shared" si="0"/>
        <v>21</v>
      </c>
      <c r="AL63" s="36">
        <v>2</v>
      </c>
      <c r="AM63" s="36">
        <f t="shared" si="10"/>
        <v>26</v>
      </c>
      <c r="AN63" s="44">
        <f t="shared" si="2"/>
        <v>24</v>
      </c>
      <c r="AO63" s="45" t="s">
        <v>331</v>
      </c>
      <c r="AP63" s="37" t="s">
        <v>139</v>
      </c>
      <c r="AQ63" s="46" t="s">
        <v>27</v>
      </c>
      <c r="AR63" s="47">
        <v>22000</v>
      </c>
      <c r="AS63" s="48" t="s">
        <v>332</v>
      </c>
      <c r="AT63" s="49"/>
      <c r="AU63" s="36">
        <v>14000</v>
      </c>
      <c r="AV63" s="50">
        <f t="shared" si="8"/>
        <v>12923.076923076922</v>
      </c>
      <c r="AW63" s="51">
        <f t="shared" si="9"/>
        <v>12950</v>
      </c>
      <c r="AX63" s="50">
        <f t="shared" si="4"/>
        <v>26.923076923078042</v>
      </c>
      <c r="AY63" s="52">
        <f t="shared" si="5"/>
        <v>-12950</v>
      </c>
      <c r="AZ63" s="54" t="s">
        <v>333</v>
      </c>
      <c r="BA63" s="54"/>
    </row>
    <row r="64" spans="1:53" ht="14.25" customHeight="1">
      <c r="A64" s="36">
        <v>62</v>
      </c>
      <c r="B64" s="37" t="s">
        <v>140</v>
      </c>
      <c r="C64" s="37" t="s">
        <v>334</v>
      </c>
      <c r="D64" s="19" t="s">
        <v>67</v>
      </c>
      <c r="E64" s="23"/>
      <c r="F64" s="36" t="s">
        <v>67</v>
      </c>
      <c r="G64" s="36" t="s">
        <v>67</v>
      </c>
      <c r="H64" s="36" t="s">
        <v>67</v>
      </c>
      <c r="I64" s="36" t="s">
        <v>67</v>
      </c>
      <c r="J64" s="36" t="s">
        <v>67</v>
      </c>
      <c r="K64" s="19" t="s">
        <v>73</v>
      </c>
      <c r="L64" s="23"/>
      <c r="M64" s="36" t="s">
        <v>67</v>
      </c>
      <c r="N64" s="36" t="s">
        <v>67</v>
      </c>
      <c r="O64" s="36" t="s">
        <v>67</v>
      </c>
      <c r="P64" s="36" t="s">
        <v>67</v>
      </c>
      <c r="Q64" s="36" t="s">
        <v>67</v>
      </c>
      <c r="R64" s="19" t="s">
        <v>67</v>
      </c>
      <c r="S64" s="23"/>
      <c r="T64" s="36" t="s">
        <v>67</v>
      </c>
      <c r="U64" s="36" t="s">
        <v>67</v>
      </c>
      <c r="V64" s="36" t="s">
        <v>67</v>
      </c>
      <c r="W64" s="36" t="s">
        <v>67</v>
      </c>
      <c r="X64" s="36" t="s">
        <v>67</v>
      </c>
      <c r="Y64" s="19" t="s">
        <v>73</v>
      </c>
      <c r="Z64" s="23"/>
      <c r="AA64" s="36" t="s">
        <v>67</v>
      </c>
      <c r="AB64" s="36" t="s">
        <v>67</v>
      </c>
      <c r="AC64" s="36" t="s">
        <v>74</v>
      </c>
      <c r="AD64" s="36" t="s">
        <v>67</v>
      </c>
      <c r="AE64" s="36" t="s">
        <v>67</v>
      </c>
      <c r="AF64" s="19" t="s">
        <v>73</v>
      </c>
      <c r="AG64" s="23"/>
      <c r="AH64" s="36" t="s">
        <v>67</v>
      </c>
      <c r="AI64" s="36">
        <v>3</v>
      </c>
      <c r="AJ64" s="36">
        <v>3</v>
      </c>
      <c r="AK64" s="43">
        <f t="shared" si="0"/>
        <v>23</v>
      </c>
      <c r="AL64" s="36">
        <v>0</v>
      </c>
      <c r="AM64" s="36">
        <f t="shared" si="10"/>
        <v>26</v>
      </c>
      <c r="AN64" s="44">
        <f t="shared" si="2"/>
        <v>26</v>
      </c>
      <c r="AO64" s="45" t="s">
        <v>140</v>
      </c>
      <c r="AP64" s="37" t="s">
        <v>334</v>
      </c>
      <c r="AQ64" s="46" t="s">
        <v>27</v>
      </c>
      <c r="AR64" s="47">
        <v>22000</v>
      </c>
      <c r="AS64" s="48" t="s">
        <v>335</v>
      </c>
      <c r="AT64" s="49">
        <v>21700</v>
      </c>
      <c r="AU64" s="36">
        <v>16000</v>
      </c>
      <c r="AV64" s="50">
        <f t="shared" si="8"/>
        <v>16000</v>
      </c>
      <c r="AW64" s="51">
        <f t="shared" si="9"/>
        <v>16000</v>
      </c>
      <c r="AX64" s="50">
        <f t="shared" si="4"/>
        <v>0</v>
      </c>
      <c r="AY64" s="52">
        <f t="shared" si="5"/>
        <v>5700</v>
      </c>
      <c r="AZ64" s="53">
        <v>46270</v>
      </c>
      <c r="BA64" s="54" t="s">
        <v>336</v>
      </c>
    </row>
    <row r="65" spans="1:53" ht="14.25" customHeight="1">
      <c r="A65" s="36">
        <v>63</v>
      </c>
      <c r="B65" s="37" t="s">
        <v>143</v>
      </c>
      <c r="C65" s="37" t="s">
        <v>334</v>
      </c>
      <c r="D65" s="19" t="s">
        <v>67</v>
      </c>
      <c r="E65" s="23"/>
      <c r="F65" s="36" t="s">
        <v>67</v>
      </c>
      <c r="G65" s="36" t="s">
        <v>67</v>
      </c>
      <c r="H65" s="36" t="s">
        <v>67</v>
      </c>
      <c r="I65" s="36" t="s">
        <v>67</v>
      </c>
      <c r="J65" s="36" t="s">
        <v>67</v>
      </c>
      <c r="K65" s="19" t="s">
        <v>73</v>
      </c>
      <c r="L65" s="23"/>
      <c r="M65" s="36" t="s">
        <v>67</v>
      </c>
      <c r="N65" s="36" t="s">
        <v>67</v>
      </c>
      <c r="O65" s="36" t="s">
        <v>67</v>
      </c>
      <c r="P65" s="36" t="s">
        <v>67</v>
      </c>
      <c r="Q65" s="36" t="s">
        <v>67</v>
      </c>
      <c r="R65" s="19" t="s">
        <v>67</v>
      </c>
      <c r="S65" s="23"/>
      <c r="T65" s="36" t="s">
        <v>67</v>
      </c>
      <c r="U65" s="36" t="s">
        <v>67</v>
      </c>
      <c r="V65" s="36" t="s">
        <v>67</v>
      </c>
      <c r="W65" s="36" t="s">
        <v>67</v>
      </c>
      <c r="X65" s="36" t="s">
        <v>67</v>
      </c>
      <c r="Y65" s="19" t="s">
        <v>73</v>
      </c>
      <c r="Z65" s="23"/>
      <c r="AA65" s="36" t="s">
        <v>67</v>
      </c>
      <c r="AB65" s="36" t="s">
        <v>67</v>
      </c>
      <c r="AC65" s="36" t="s">
        <v>74</v>
      </c>
      <c r="AD65" s="36" t="s">
        <v>67</v>
      </c>
      <c r="AE65" s="36" t="s">
        <v>67</v>
      </c>
      <c r="AF65" s="19" t="s">
        <v>73</v>
      </c>
      <c r="AG65" s="23"/>
      <c r="AH65" s="36" t="s">
        <v>67</v>
      </c>
      <c r="AI65" s="36">
        <v>3</v>
      </c>
      <c r="AJ65" s="36">
        <v>3</v>
      </c>
      <c r="AK65" s="43">
        <f t="shared" si="0"/>
        <v>23</v>
      </c>
      <c r="AL65" s="36">
        <v>0</v>
      </c>
      <c r="AM65" s="36">
        <f t="shared" si="10"/>
        <v>26</v>
      </c>
      <c r="AN65" s="44">
        <f t="shared" si="2"/>
        <v>26</v>
      </c>
      <c r="AO65" s="45" t="s">
        <v>143</v>
      </c>
      <c r="AP65" s="37" t="s">
        <v>334</v>
      </c>
      <c r="AQ65" s="46" t="s">
        <v>27</v>
      </c>
      <c r="AR65" s="47">
        <v>20000</v>
      </c>
      <c r="AS65" s="48" t="s">
        <v>337</v>
      </c>
      <c r="AT65" s="49">
        <v>20667</v>
      </c>
      <c r="AU65" s="36">
        <v>15000</v>
      </c>
      <c r="AV65" s="50">
        <f t="shared" si="8"/>
        <v>15000</v>
      </c>
      <c r="AW65" s="51">
        <f t="shared" si="9"/>
        <v>15000</v>
      </c>
      <c r="AX65" s="50">
        <f t="shared" si="4"/>
        <v>0</v>
      </c>
      <c r="AY65" s="52">
        <f t="shared" si="5"/>
        <v>5667</v>
      </c>
      <c r="AZ65" s="53">
        <v>46276</v>
      </c>
      <c r="BA65" s="54" t="s">
        <v>320</v>
      </c>
    </row>
    <row r="66" spans="1:53" ht="14.25" customHeight="1">
      <c r="A66" s="36">
        <v>64</v>
      </c>
      <c r="B66" s="37" t="s">
        <v>145</v>
      </c>
      <c r="C66" s="37" t="s">
        <v>334</v>
      </c>
      <c r="D66" s="19" t="s">
        <v>67</v>
      </c>
      <c r="E66" s="23"/>
      <c r="F66" s="36" t="s">
        <v>67</v>
      </c>
      <c r="G66" s="36" t="s">
        <v>67</v>
      </c>
      <c r="H66" s="36" t="s">
        <v>67</v>
      </c>
      <c r="I66" s="36" t="s">
        <v>67</v>
      </c>
      <c r="J66" s="36" t="s">
        <v>67</v>
      </c>
      <c r="K66" s="19" t="s">
        <v>70</v>
      </c>
      <c r="L66" s="23"/>
      <c r="M66" s="36" t="s">
        <v>67</v>
      </c>
      <c r="N66" s="36" t="s">
        <v>67</v>
      </c>
      <c r="O66" s="36" t="s">
        <v>67</v>
      </c>
      <c r="P66" s="36" t="s">
        <v>67</v>
      </c>
      <c r="Q66" s="36" t="s">
        <v>67</v>
      </c>
      <c r="R66" s="19" t="s">
        <v>67</v>
      </c>
      <c r="S66" s="23"/>
      <c r="T66" s="36" t="s">
        <v>67</v>
      </c>
      <c r="U66" s="36" t="s">
        <v>67</v>
      </c>
      <c r="V66" s="36" t="s">
        <v>67</v>
      </c>
      <c r="W66" s="36" t="s">
        <v>70</v>
      </c>
      <c r="X66" s="36" t="s">
        <v>67</v>
      </c>
      <c r="Y66" s="19" t="s">
        <v>73</v>
      </c>
      <c r="Z66" s="23"/>
      <c r="AA66" s="36" t="s">
        <v>67</v>
      </c>
      <c r="AB66" s="36" t="s">
        <v>67</v>
      </c>
      <c r="AC66" s="36" t="s">
        <v>74</v>
      </c>
      <c r="AD66" s="36" t="s">
        <v>67</v>
      </c>
      <c r="AE66" s="36" t="s">
        <v>67</v>
      </c>
      <c r="AF66" s="19" t="s">
        <v>73</v>
      </c>
      <c r="AG66" s="23"/>
      <c r="AH66" s="36" t="s">
        <v>70</v>
      </c>
      <c r="AI66" s="36">
        <v>3</v>
      </c>
      <c r="AJ66" s="36">
        <v>2</v>
      </c>
      <c r="AK66" s="43">
        <f t="shared" si="0"/>
        <v>21</v>
      </c>
      <c r="AL66" s="36">
        <v>2</v>
      </c>
      <c r="AM66" s="36">
        <f t="shared" si="10"/>
        <v>26</v>
      </c>
      <c r="AN66" s="44">
        <f t="shared" si="2"/>
        <v>23</v>
      </c>
      <c r="AO66" s="45" t="s">
        <v>145</v>
      </c>
      <c r="AP66" s="37" t="s">
        <v>334</v>
      </c>
      <c r="AQ66" s="46" t="s">
        <v>27</v>
      </c>
      <c r="AR66" s="47">
        <v>20000</v>
      </c>
      <c r="AS66" s="48" t="s">
        <v>250</v>
      </c>
      <c r="AT66" s="49">
        <v>19333</v>
      </c>
      <c r="AU66" s="36">
        <v>14000</v>
      </c>
      <c r="AV66" s="50">
        <f t="shared" si="8"/>
        <v>12384.615384615385</v>
      </c>
      <c r="AW66" s="51">
        <f t="shared" si="9"/>
        <v>12400</v>
      </c>
      <c r="AX66" s="50">
        <f t="shared" si="4"/>
        <v>15.384615384615245</v>
      </c>
      <c r="AY66" s="52">
        <f t="shared" si="5"/>
        <v>6933</v>
      </c>
      <c r="AZ66" s="53">
        <v>46276</v>
      </c>
      <c r="BA66" s="54" t="s">
        <v>320</v>
      </c>
    </row>
    <row r="67" spans="1:53" ht="14.25" customHeight="1">
      <c r="A67" s="36">
        <v>65</v>
      </c>
      <c r="B67" s="37" t="s">
        <v>146</v>
      </c>
      <c r="C67" s="37" t="s">
        <v>334</v>
      </c>
      <c r="D67" s="19" t="s">
        <v>67</v>
      </c>
      <c r="E67" s="23"/>
      <c r="F67" s="36" t="s">
        <v>67</v>
      </c>
      <c r="G67" s="36" t="s">
        <v>67</v>
      </c>
      <c r="H67" s="36" t="s">
        <v>67</v>
      </c>
      <c r="I67" s="36" t="s">
        <v>67</v>
      </c>
      <c r="J67" s="36" t="s">
        <v>67</v>
      </c>
      <c r="K67" s="19" t="s">
        <v>73</v>
      </c>
      <c r="L67" s="23"/>
      <c r="M67" s="36" t="s">
        <v>67</v>
      </c>
      <c r="N67" s="36" t="s">
        <v>67</v>
      </c>
      <c r="O67" s="36" t="s">
        <v>67</v>
      </c>
      <c r="P67" s="36" t="s">
        <v>67</v>
      </c>
      <c r="Q67" s="36" t="s">
        <v>67</v>
      </c>
      <c r="R67" s="19" t="s">
        <v>67</v>
      </c>
      <c r="S67" s="23"/>
      <c r="T67" s="36" t="s">
        <v>67</v>
      </c>
      <c r="U67" s="36" t="s">
        <v>70</v>
      </c>
      <c r="V67" s="36" t="s">
        <v>67</v>
      </c>
      <c r="W67" s="36" t="s">
        <v>67</v>
      </c>
      <c r="X67" s="36" t="s">
        <v>67</v>
      </c>
      <c r="Y67" s="19" t="s">
        <v>70</v>
      </c>
      <c r="Z67" s="23"/>
      <c r="AA67" s="36" t="s">
        <v>67</v>
      </c>
      <c r="AB67" s="36" t="s">
        <v>67</v>
      </c>
      <c r="AC67" s="36" t="s">
        <v>74</v>
      </c>
      <c r="AD67" s="36" t="s">
        <v>67</v>
      </c>
      <c r="AE67" s="36" t="s">
        <v>67</v>
      </c>
      <c r="AF67" s="19" t="s">
        <v>73</v>
      </c>
      <c r="AG67" s="23"/>
      <c r="AH67" s="36" t="s">
        <v>67</v>
      </c>
      <c r="AI67" s="36">
        <v>3</v>
      </c>
      <c r="AJ67" s="36">
        <v>2</v>
      </c>
      <c r="AK67" s="43">
        <f t="shared" si="0"/>
        <v>22</v>
      </c>
      <c r="AL67" s="36">
        <v>1</v>
      </c>
      <c r="AM67" s="36">
        <f t="shared" si="10"/>
        <v>26</v>
      </c>
      <c r="AN67" s="44">
        <f t="shared" si="2"/>
        <v>24</v>
      </c>
      <c r="AO67" s="45" t="s">
        <v>146</v>
      </c>
      <c r="AP67" s="37" t="s">
        <v>334</v>
      </c>
      <c r="AQ67" s="46" t="s">
        <v>27</v>
      </c>
      <c r="AR67" s="47">
        <v>20000</v>
      </c>
      <c r="AS67" s="48" t="s">
        <v>338</v>
      </c>
      <c r="AT67" s="49">
        <v>20000</v>
      </c>
      <c r="AU67" s="36">
        <v>14000</v>
      </c>
      <c r="AV67" s="50">
        <f t="shared" si="8"/>
        <v>12923.076923076922</v>
      </c>
      <c r="AW67" s="51">
        <f t="shared" si="9"/>
        <v>12950</v>
      </c>
      <c r="AX67" s="50">
        <f t="shared" si="4"/>
        <v>26.923076923078042</v>
      </c>
      <c r="AY67" s="52">
        <f t="shared" si="5"/>
        <v>7050</v>
      </c>
      <c r="AZ67" s="53">
        <v>46276</v>
      </c>
      <c r="BA67" s="54" t="s">
        <v>320</v>
      </c>
    </row>
    <row r="68" spans="1:53" ht="14.25" customHeight="1">
      <c r="A68" s="36">
        <v>66</v>
      </c>
      <c r="B68" s="37" t="s">
        <v>147</v>
      </c>
      <c r="C68" s="37" t="s">
        <v>334</v>
      </c>
      <c r="D68" s="19" t="s">
        <v>67</v>
      </c>
      <c r="E68" s="23"/>
      <c r="F68" s="36" t="s">
        <v>67</v>
      </c>
      <c r="G68" s="36" t="s">
        <v>67</v>
      </c>
      <c r="H68" s="36" t="s">
        <v>67</v>
      </c>
      <c r="I68" s="36" t="s">
        <v>67</v>
      </c>
      <c r="J68" s="36" t="s">
        <v>67</v>
      </c>
      <c r="K68" s="19" t="s">
        <v>73</v>
      </c>
      <c r="L68" s="23"/>
      <c r="M68" s="36" t="s">
        <v>67</v>
      </c>
      <c r="N68" s="36" t="s">
        <v>67</v>
      </c>
      <c r="O68" s="36" t="s">
        <v>67</v>
      </c>
      <c r="P68" s="36" t="s">
        <v>67</v>
      </c>
      <c r="Q68" s="36" t="s">
        <v>67</v>
      </c>
      <c r="R68" s="19" t="s">
        <v>67</v>
      </c>
      <c r="S68" s="23"/>
      <c r="T68" s="36" t="s">
        <v>67</v>
      </c>
      <c r="U68" s="36" t="s">
        <v>67</v>
      </c>
      <c r="V68" s="36" t="s">
        <v>67</v>
      </c>
      <c r="W68" s="36" t="s">
        <v>67</v>
      </c>
      <c r="X68" s="36" t="s">
        <v>70</v>
      </c>
      <c r="Y68" s="19" t="s">
        <v>73</v>
      </c>
      <c r="Z68" s="23"/>
      <c r="AA68" s="36" t="s">
        <v>67</v>
      </c>
      <c r="AB68" s="36" t="s">
        <v>67</v>
      </c>
      <c r="AC68" s="36" t="s">
        <v>74</v>
      </c>
      <c r="AD68" s="36" t="s">
        <v>67</v>
      </c>
      <c r="AE68" s="36" t="s">
        <v>67</v>
      </c>
      <c r="AF68" s="19" t="s">
        <v>73</v>
      </c>
      <c r="AG68" s="23"/>
      <c r="AH68" s="36" t="s">
        <v>67</v>
      </c>
      <c r="AI68" s="36">
        <v>3</v>
      </c>
      <c r="AJ68" s="36">
        <v>3</v>
      </c>
      <c r="AK68" s="43">
        <f t="shared" si="0"/>
        <v>22</v>
      </c>
      <c r="AL68" s="36">
        <v>1</v>
      </c>
      <c r="AM68" s="36">
        <f t="shared" si="10"/>
        <v>26</v>
      </c>
      <c r="AN68" s="44">
        <f t="shared" si="2"/>
        <v>25</v>
      </c>
      <c r="AO68" s="45" t="s">
        <v>147</v>
      </c>
      <c r="AP68" s="37" t="s">
        <v>334</v>
      </c>
      <c r="AQ68" s="46" t="s">
        <v>27</v>
      </c>
      <c r="AR68" s="47">
        <v>20000</v>
      </c>
      <c r="AS68" s="48" t="s">
        <v>250</v>
      </c>
      <c r="AT68" s="49">
        <v>20667</v>
      </c>
      <c r="AU68" s="36">
        <v>14000</v>
      </c>
      <c r="AV68" s="50">
        <f t="shared" si="8"/>
        <v>13461.538461538461</v>
      </c>
      <c r="AW68" s="51">
        <f t="shared" si="9"/>
        <v>13500</v>
      </c>
      <c r="AX68" s="50">
        <f t="shared" si="4"/>
        <v>38.461538461539021</v>
      </c>
      <c r="AY68" s="52">
        <f t="shared" si="5"/>
        <v>7167</v>
      </c>
      <c r="AZ68" s="54" t="s">
        <v>339</v>
      </c>
      <c r="BA68" s="54" t="s">
        <v>340</v>
      </c>
    </row>
    <row r="69" spans="1:53" ht="14.25" customHeight="1">
      <c r="A69" s="36">
        <v>67</v>
      </c>
      <c r="B69" s="37" t="s">
        <v>341</v>
      </c>
      <c r="C69" s="37" t="s">
        <v>342</v>
      </c>
      <c r="D69" s="19" t="s">
        <v>67</v>
      </c>
      <c r="E69" s="23"/>
      <c r="F69" s="36" t="s">
        <v>70</v>
      </c>
      <c r="G69" s="36" t="s">
        <v>67</v>
      </c>
      <c r="H69" s="36" t="s">
        <v>70</v>
      </c>
      <c r="I69" s="36" t="s">
        <v>70</v>
      </c>
      <c r="J69" s="36" t="s">
        <v>70</v>
      </c>
      <c r="K69" s="19" t="s">
        <v>73</v>
      </c>
      <c r="L69" s="23"/>
      <c r="M69" s="36" t="s">
        <v>67</v>
      </c>
      <c r="N69" s="36" t="s">
        <v>70</v>
      </c>
      <c r="O69" s="36" t="s">
        <v>70</v>
      </c>
      <c r="P69" s="36" t="s">
        <v>67</v>
      </c>
      <c r="Q69" s="36" t="s">
        <v>70</v>
      </c>
      <c r="R69" s="19" t="s">
        <v>67</v>
      </c>
      <c r="S69" s="23"/>
      <c r="T69" s="36" t="s">
        <v>70</v>
      </c>
      <c r="U69" s="36" t="s">
        <v>70</v>
      </c>
      <c r="V69" s="36" t="s">
        <v>67</v>
      </c>
      <c r="W69" s="36" t="s">
        <v>67</v>
      </c>
      <c r="X69" s="36" t="s">
        <v>70</v>
      </c>
      <c r="Y69" s="19" t="s">
        <v>73</v>
      </c>
      <c r="Z69" s="23"/>
      <c r="AA69" s="36" t="s">
        <v>67</v>
      </c>
      <c r="AB69" s="36" t="s">
        <v>70</v>
      </c>
      <c r="AC69" s="36" t="s">
        <v>70</v>
      </c>
      <c r="AD69" s="36" t="s">
        <v>67</v>
      </c>
      <c r="AE69" s="36" t="s">
        <v>70</v>
      </c>
      <c r="AF69" s="19" t="s">
        <v>73</v>
      </c>
      <c r="AG69" s="23"/>
      <c r="AH69" s="36" t="s">
        <v>67</v>
      </c>
      <c r="AI69" s="36">
        <v>3</v>
      </c>
      <c r="AJ69" s="36">
        <v>3</v>
      </c>
      <c r="AK69" s="43">
        <f t="shared" si="0"/>
        <v>10</v>
      </c>
      <c r="AL69" s="36">
        <v>13</v>
      </c>
      <c r="AM69" s="36">
        <f t="shared" si="10"/>
        <v>26</v>
      </c>
      <c r="AN69" s="44">
        <f t="shared" si="2"/>
        <v>13</v>
      </c>
      <c r="AO69" s="45" t="s">
        <v>100</v>
      </c>
      <c r="AP69" s="37" t="s">
        <v>342</v>
      </c>
      <c r="AQ69" s="46" t="s">
        <v>27</v>
      </c>
      <c r="AR69" s="47">
        <v>8500</v>
      </c>
      <c r="AS69" s="48" t="s">
        <v>132</v>
      </c>
      <c r="AT69" s="49">
        <v>8500</v>
      </c>
      <c r="AU69" s="36">
        <v>6500</v>
      </c>
      <c r="AV69" s="50">
        <v>6500</v>
      </c>
      <c r="AW69" s="51">
        <v>6500</v>
      </c>
      <c r="AX69" s="50">
        <f t="shared" si="4"/>
        <v>0</v>
      </c>
      <c r="AY69" s="52">
        <f t="shared" si="5"/>
        <v>2000</v>
      </c>
      <c r="AZ69" s="53">
        <v>46266</v>
      </c>
      <c r="BA69" s="54" t="s">
        <v>142</v>
      </c>
    </row>
    <row r="70" spans="1:53" ht="14.25" customHeight="1">
      <c r="A70" s="68"/>
      <c r="B70" s="69" t="s">
        <v>172</v>
      </c>
      <c r="C70" s="69"/>
      <c r="D70" s="19"/>
      <c r="E70" s="23"/>
      <c r="F70" s="68"/>
      <c r="G70" s="36"/>
      <c r="H70" s="36"/>
      <c r="I70" s="68"/>
      <c r="J70" s="68"/>
      <c r="K70" s="19"/>
      <c r="L70" s="23"/>
      <c r="M70" s="68"/>
      <c r="N70" s="36"/>
      <c r="O70" s="36"/>
      <c r="P70" s="68"/>
      <c r="Q70" s="68"/>
      <c r="R70" s="19"/>
      <c r="S70" s="23"/>
      <c r="T70" s="68"/>
      <c r="U70" s="36"/>
      <c r="V70" s="36"/>
      <c r="W70" s="68"/>
      <c r="X70" s="68"/>
      <c r="Y70" s="19"/>
      <c r="Z70" s="23"/>
      <c r="AA70" s="68"/>
      <c r="AB70" s="36"/>
      <c r="AC70" s="36"/>
      <c r="AD70" s="68"/>
      <c r="AE70" s="68"/>
      <c r="AF70" s="19"/>
      <c r="AG70" s="23"/>
      <c r="AH70" s="68"/>
      <c r="AI70" s="68"/>
      <c r="AJ70" s="36">
        <v>0</v>
      </c>
      <c r="AK70" s="68"/>
      <c r="AL70" s="68"/>
      <c r="AM70" s="36"/>
      <c r="AN70" s="44"/>
      <c r="AO70" s="70"/>
      <c r="AP70" s="69"/>
      <c r="AQ70" s="71"/>
      <c r="AR70" s="72">
        <f>SUM(AR3:AR68)</f>
        <v>1409500</v>
      </c>
      <c r="AS70" s="72"/>
      <c r="AT70" s="49" t="s">
        <v>172</v>
      </c>
      <c r="AU70" s="72">
        <f t="shared" ref="AU70:AW70" si="11">SUM(AU3:AU69)</f>
        <v>1007500</v>
      </c>
      <c r="AV70" s="73">
        <f t="shared" si="11"/>
        <v>919211.92307692335</v>
      </c>
      <c r="AW70" s="72">
        <f t="shared" si="11"/>
        <v>920450</v>
      </c>
      <c r="AX70" s="73">
        <f>SUM(AX3:AX68)</f>
        <v>1238.0769230769438</v>
      </c>
      <c r="AY70" s="52" t="s">
        <v>172</v>
      </c>
      <c r="AZ70" s="74"/>
      <c r="BA70" s="75"/>
    </row>
    <row r="71" spans="1:53" ht="14.25" customHeight="1">
      <c r="A71" s="36"/>
      <c r="B71" s="37"/>
      <c r="C71" s="37"/>
      <c r="D71" s="19"/>
      <c r="E71" s="23"/>
      <c r="F71" s="36"/>
      <c r="G71" s="36"/>
      <c r="H71" s="36"/>
      <c r="I71" s="36"/>
      <c r="J71" s="36"/>
      <c r="K71" s="19"/>
      <c r="L71" s="23"/>
      <c r="M71" s="36"/>
      <c r="N71" s="36"/>
      <c r="O71" s="36"/>
      <c r="P71" s="36"/>
      <c r="Q71" s="36"/>
      <c r="R71" s="19"/>
      <c r="S71" s="23"/>
      <c r="T71" s="36"/>
      <c r="U71" s="36"/>
      <c r="V71" s="36"/>
      <c r="W71" s="36"/>
      <c r="X71" s="36"/>
      <c r="Y71" s="19"/>
      <c r="Z71" s="23"/>
      <c r="AA71" s="36"/>
      <c r="AB71" s="36"/>
      <c r="AC71" s="36"/>
      <c r="AD71" s="36"/>
      <c r="AE71" s="36"/>
      <c r="AF71" s="19"/>
      <c r="AG71" s="23"/>
      <c r="AH71" s="36"/>
      <c r="AI71" s="36"/>
      <c r="AJ71" s="36"/>
      <c r="AK71" s="43"/>
      <c r="AL71" s="36"/>
      <c r="AM71" s="36"/>
      <c r="AN71" s="44"/>
      <c r="AO71" s="45"/>
      <c r="AP71" s="37"/>
      <c r="AQ71" s="46"/>
      <c r="AR71" s="47"/>
      <c r="AS71" s="48"/>
      <c r="AT71" s="49"/>
      <c r="AU71" s="36"/>
      <c r="AV71" s="50"/>
      <c r="AW71" s="51"/>
      <c r="AX71" s="50"/>
      <c r="AY71" s="52"/>
      <c r="AZ71" s="54"/>
      <c r="BA71" s="54"/>
    </row>
    <row r="72" spans="1:53" ht="14.25" customHeight="1">
      <c r="A72" s="36"/>
      <c r="B72" s="37"/>
      <c r="C72" s="37"/>
      <c r="D72" s="19"/>
      <c r="E72" s="23"/>
      <c r="F72" s="36"/>
      <c r="G72" s="36"/>
      <c r="H72" s="36"/>
      <c r="I72" s="36"/>
      <c r="J72" s="36"/>
      <c r="K72" s="19"/>
      <c r="L72" s="23"/>
      <c r="M72" s="36"/>
      <c r="N72" s="36"/>
      <c r="O72" s="36"/>
      <c r="P72" s="36"/>
      <c r="Q72" s="36"/>
      <c r="R72" s="19"/>
      <c r="S72" s="23"/>
      <c r="T72" s="36"/>
      <c r="U72" s="36"/>
      <c r="V72" s="36"/>
      <c r="W72" s="36"/>
      <c r="X72" s="36"/>
      <c r="Y72" s="19"/>
      <c r="Z72" s="23"/>
      <c r="AA72" s="36"/>
      <c r="AB72" s="36"/>
      <c r="AC72" s="36"/>
      <c r="AD72" s="36"/>
      <c r="AE72" s="36"/>
      <c r="AF72" s="19"/>
      <c r="AG72" s="23"/>
      <c r="AH72" s="36"/>
      <c r="AI72" s="36"/>
      <c r="AJ72" s="36"/>
      <c r="AK72" s="43"/>
      <c r="AL72" s="36"/>
      <c r="AM72" s="36"/>
      <c r="AN72" s="44"/>
      <c r="AO72" s="45"/>
      <c r="AP72" s="37"/>
      <c r="AQ72" s="46"/>
      <c r="AR72" s="47"/>
      <c r="AS72" s="48"/>
      <c r="AT72" s="49"/>
      <c r="AU72" s="36"/>
      <c r="AV72" s="50"/>
      <c r="AW72" s="51"/>
      <c r="AX72" s="50"/>
      <c r="AY72" s="52"/>
      <c r="AZ72" s="54"/>
      <c r="BA72" s="54"/>
    </row>
    <row r="73" spans="1:53" ht="14.25" customHeight="1">
      <c r="A73" s="36">
        <v>65</v>
      </c>
      <c r="B73" s="37" t="s">
        <v>190</v>
      </c>
      <c r="C73" s="37" t="s">
        <v>343</v>
      </c>
      <c r="D73" s="19"/>
      <c r="E73" s="23"/>
      <c r="F73" s="36"/>
      <c r="G73" s="36"/>
      <c r="H73" s="36"/>
      <c r="I73" s="36"/>
      <c r="J73" s="36"/>
      <c r="K73" s="19"/>
      <c r="L73" s="23"/>
      <c r="M73" s="36"/>
      <c r="N73" s="36"/>
      <c r="O73" s="36"/>
      <c r="P73" s="36"/>
      <c r="Q73" s="36"/>
      <c r="R73" s="19"/>
      <c r="S73" s="23"/>
      <c r="T73" s="36"/>
      <c r="U73" s="36"/>
      <c r="V73" s="36"/>
      <c r="W73" s="36"/>
      <c r="X73" s="36"/>
      <c r="Y73" s="19"/>
      <c r="Z73" s="23"/>
      <c r="AA73" s="36"/>
      <c r="AB73" s="36"/>
      <c r="AC73" s="36"/>
      <c r="AD73" s="36"/>
      <c r="AE73" s="36"/>
      <c r="AF73" s="19"/>
      <c r="AG73" s="23"/>
      <c r="AH73" s="36"/>
      <c r="AI73" s="36"/>
      <c r="AJ73" s="36"/>
      <c r="AK73" s="43"/>
      <c r="AL73" s="36"/>
      <c r="AM73" s="36"/>
      <c r="AN73" s="44"/>
      <c r="AO73" s="45" t="s">
        <v>190</v>
      </c>
      <c r="AP73" s="37" t="s">
        <v>344</v>
      </c>
      <c r="AQ73" s="46" t="s">
        <v>345</v>
      </c>
      <c r="AR73" s="47"/>
      <c r="AS73" s="63">
        <v>46279</v>
      </c>
      <c r="AT73" s="49"/>
      <c r="AU73" s="36">
        <v>2000</v>
      </c>
      <c r="AV73" s="50"/>
      <c r="AW73" s="51">
        <v>2000</v>
      </c>
      <c r="AX73" s="53">
        <v>46279</v>
      </c>
      <c r="AY73" s="52">
        <v>2000</v>
      </c>
      <c r="AZ73" s="54"/>
      <c r="BA73" s="54"/>
    </row>
    <row r="74" spans="1:53" ht="14.25" customHeight="1">
      <c r="A74" s="36">
        <v>66</v>
      </c>
      <c r="B74" s="37" t="s">
        <v>6</v>
      </c>
      <c r="C74" s="37" t="s">
        <v>346</v>
      </c>
      <c r="D74" s="19" t="s">
        <v>67</v>
      </c>
      <c r="E74" s="23"/>
      <c r="F74" s="36" t="s">
        <v>67</v>
      </c>
      <c r="G74" s="36" t="s">
        <v>67</v>
      </c>
      <c r="H74" s="36" t="s">
        <v>67</v>
      </c>
      <c r="I74" s="36" t="s">
        <v>67</v>
      </c>
      <c r="J74" s="36" t="s">
        <v>67</v>
      </c>
      <c r="K74" s="19" t="s">
        <v>73</v>
      </c>
      <c r="L74" s="23"/>
      <c r="M74" s="36" t="s">
        <v>67</v>
      </c>
      <c r="N74" s="36" t="s">
        <v>67</v>
      </c>
      <c r="O74" s="36" t="s">
        <v>67</v>
      </c>
      <c r="P74" s="36" t="s">
        <v>67</v>
      </c>
      <c r="Q74" s="36" t="s">
        <v>67</v>
      </c>
      <c r="R74" s="19" t="s">
        <v>67</v>
      </c>
      <c r="S74" s="23"/>
      <c r="T74" s="36" t="s">
        <v>67</v>
      </c>
      <c r="U74" s="36" t="s">
        <v>67</v>
      </c>
      <c r="V74" s="36" t="s">
        <v>67</v>
      </c>
      <c r="W74" s="36" t="s">
        <v>70</v>
      </c>
      <c r="X74" s="36" t="s">
        <v>67</v>
      </c>
      <c r="Y74" s="19" t="s">
        <v>73</v>
      </c>
      <c r="Z74" s="23"/>
      <c r="AA74" s="36" t="s">
        <v>67</v>
      </c>
      <c r="AB74" s="36" t="s">
        <v>67</v>
      </c>
      <c r="AC74" s="36" t="s">
        <v>67</v>
      </c>
      <c r="AD74" s="36" t="s">
        <v>67</v>
      </c>
      <c r="AE74" s="36" t="s">
        <v>67</v>
      </c>
      <c r="AF74" s="19" t="s">
        <v>73</v>
      </c>
      <c r="AG74" s="23"/>
      <c r="AH74" s="36" t="s">
        <v>67</v>
      </c>
      <c r="AI74" s="36"/>
      <c r="AJ74" s="36"/>
      <c r="AK74" s="43">
        <f t="shared" ref="AK74:AK77" si="12">COUNTIF(D74:AH74, "P")  + (COUNTIF(D74:AH74, "L/2")  ) * 0.5</f>
        <v>22</v>
      </c>
      <c r="AL74" s="36">
        <v>1</v>
      </c>
      <c r="AM74" s="36">
        <f t="shared" ref="AM74:AM77" si="13">SUM(AI74,AK74,AL74)</f>
        <v>23</v>
      </c>
      <c r="AN74" s="44">
        <f t="shared" ref="AN74:AN77" si="14">SUM(AJ74,AK74)</f>
        <v>22</v>
      </c>
      <c r="AO74" s="45" t="s">
        <v>6</v>
      </c>
      <c r="AP74" s="37" t="s">
        <v>346</v>
      </c>
      <c r="AQ74" s="46" t="s">
        <v>8</v>
      </c>
      <c r="AR74" s="47"/>
      <c r="AS74" s="48" t="s">
        <v>347</v>
      </c>
      <c r="AT74" s="49"/>
      <c r="AU74" s="36">
        <v>22000</v>
      </c>
      <c r="AV74" s="50"/>
      <c r="AW74" s="51">
        <v>22000</v>
      </c>
      <c r="AX74" s="53">
        <v>46277</v>
      </c>
      <c r="AY74" s="52">
        <v>22000</v>
      </c>
      <c r="AZ74" s="54"/>
      <c r="BA74" s="54"/>
    </row>
    <row r="75" spans="1:53" ht="14.25" customHeight="1">
      <c r="A75" s="36">
        <v>67</v>
      </c>
      <c r="B75" s="37" t="s">
        <v>44</v>
      </c>
      <c r="C75" s="37" t="s">
        <v>346</v>
      </c>
      <c r="D75" s="19" t="s">
        <v>67</v>
      </c>
      <c r="E75" s="23"/>
      <c r="F75" s="36" t="s">
        <v>67</v>
      </c>
      <c r="G75" s="36" t="s">
        <v>67</v>
      </c>
      <c r="H75" s="36" t="s">
        <v>67</v>
      </c>
      <c r="I75" s="36" t="s">
        <v>67</v>
      </c>
      <c r="J75" s="36" t="s">
        <v>67</v>
      </c>
      <c r="K75" s="19" t="s">
        <v>73</v>
      </c>
      <c r="L75" s="23"/>
      <c r="M75" s="36" t="s">
        <v>67</v>
      </c>
      <c r="N75" s="36" t="s">
        <v>67</v>
      </c>
      <c r="O75" s="36" t="s">
        <v>67</v>
      </c>
      <c r="P75" s="36" t="s">
        <v>67</v>
      </c>
      <c r="Q75" s="36" t="s">
        <v>67</v>
      </c>
      <c r="R75" s="19" t="s">
        <v>67</v>
      </c>
      <c r="S75" s="23"/>
      <c r="T75" s="36" t="s">
        <v>67</v>
      </c>
      <c r="U75" s="36" t="s">
        <v>67</v>
      </c>
      <c r="V75" s="36" t="s">
        <v>67</v>
      </c>
      <c r="W75" s="36" t="s">
        <v>67</v>
      </c>
      <c r="X75" s="36" t="s">
        <v>67</v>
      </c>
      <c r="Y75" s="19" t="s">
        <v>73</v>
      </c>
      <c r="Z75" s="23"/>
      <c r="AA75" s="36" t="s">
        <v>67</v>
      </c>
      <c r="AB75" s="36" t="s">
        <v>67</v>
      </c>
      <c r="AC75" s="36" t="s">
        <v>67</v>
      </c>
      <c r="AD75" s="36" t="s">
        <v>67</v>
      </c>
      <c r="AE75" s="36" t="s">
        <v>67</v>
      </c>
      <c r="AF75" s="19" t="s">
        <v>73</v>
      </c>
      <c r="AG75" s="23"/>
      <c r="AH75" s="36" t="s">
        <v>67</v>
      </c>
      <c r="AI75" s="36"/>
      <c r="AJ75" s="36"/>
      <c r="AK75" s="43">
        <f t="shared" si="12"/>
        <v>23</v>
      </c>
      <c r="AL75" s="36">
        <v>0</v>
      </c>
      <c r="AM75" s="36">
        <f t="shared" si="13"/>
        <v>23</v>
      </c>
      <c r="AN75" s="44">
        <f t="shared" si="14"/>
        <v>23</v>
      </c>
      <c r="AO75" s="45" t="s">
        <v>44</v>
      </c>
      <c r="AP75" s="37" t="s">
        <v>346</v>
      </c>
      <c r="AQ75" s="46" t="s">
        <v>348</v>
      </c>
      <c r="AR75" s="47"/>
      <c r="AS75" s="63">
        <v>46271</v>
      </c>
      <c r="AT75" s="49"/>
      <c r="AU75" s="36">
        <v>22000</v>
      </c>
      <c r="AV75" s="50"/>
      <c r="AW75" s="51">
        <v>22000</v>
      </c>
      <c r="AX75" s="53">
        <v>46271</v>
      </c>
      <c r="AY75" s="52">
        <v>23213</v>
      </c>
      <c r="AZ75" s="54" t="s">
        <v>349</v>
      </c>
      <c r="BA75" s="54"/>
    </row>
    <row r="76" spans="1:53" ht="14.25" customHeight="1">
      <c r="A76" s="36">
        <v>68</v>
      </c>
      <c r="B76" s="37" t="s">
        <v>27</v>
      </c>
      <c r="C76" s="37" t="s">
        <v>346</v>
      </c>
      <c r="D76" s="19" t="s">
        <v>67</v>
      </c>
      <c r="E76" s="23"/>
      <c r="F76" s="36" t="s">
        <v>67</v>
      </c>
      <c r="G76" s="36" t="s">
        <v>67</v>
      </c>
      <c r="H76" s="36" t="s">
        <v>67</v>
      </c>
      <c r="I76" s="36" t="s">
        <v>67</v>
      </c>
      <c r="J76" s="36" t="s">
        <v>67</v>
      </c>
      <c r="K76" s="19" t="s">
        <v>73</v>
      </c>
      <c r="L76" s="23"/>
      <c r="M76" s="36" t="s">
        <v>67</v>
      </c>
      <c r="N76" s="36" t="s">
        <v>67</v>
      </c>
      <c r="O76" s="36" t="s">
        <v>67</v>
      </c>
      <c r="P76" s="36" t="s">
        <v>67</v>
      </c>
      <c r="Q76" s="36" t="s">
        <v>67</v>
      </c>
      <c r="R76" s="19" t="s">
        <v>67</v>
      </c>
      <c r="S76" s="23"/>
      <c r="T76" s="36" t="s">
        <v>67</v>
      </c>
      <c r="U76" s="36" t="s">
        <v>67</v>
      </c>
      <c r="V76" s="36" t="s">
        <v>67</v>
      </c>
      <c r="W76" s="36" t="s">
        <v>67</v>
      </c>
      <c r="X76" s="36" t="s">
        <v>67</v>
      </c>
      <c r="Y76" s="19" t="s">
        <v>73</v>
      </c>
      <c r="Z76" s="23"/>
      <c r="AA76" s="36" t="s">
        <v>67</v>
      </c>
      <c r="AB76" s="36" t="s">
        <v>67</v>
      </c>
      <c r="AC76" s="36" t="s">
        <v>67</v>
      </c>
      <c r="AD76" s="36" t="s">
        <v>67</v>
      </c>
      <c r="AE76" s="36" t="s">
        <v>67</v>
      </c>
      <c r="AF76" s="19" t="s">
        <v>73</v>
      </c>
      <c r="AG76" s="23"/>
      <c r="AH76" s="36" t="s">
        <v>67</v>
      </c>
      <c r="AI76" s="36"/>
      <c r="AJ76" s="36"/>
      <c r="AK76" s="43">
        <f t="shared" si="12"/>
        <v>23</v>
      </c>
      <c r="AL76" s="36">
        <v>0</v>
      </c>
      <c r="AM76" s="36">
        <f t="shared" si="13"/>
        <v>23</v>
      </c>
      <c r="AN76" s="44">
        <f t="shared" si="14"/>
        <v>23</v>
      </c>
      <c r="AO76" s="45" t="s">
        <v>27</v>
      </c>
      <c r="AP76" s="37" t="s">
        <v>346</v>
      </c>
      <c r="AQ76" s="46" t="s">
        <v>350</v>
      </c>
      <c r="AR76" s="47"/>
      <c r="AS76" s="63">
        <v>46266</v>
      </c>
      <c r="AT76" s="49"/>
      <c r="AU76" s="36">
        <v>22000</v>
      </c>
      <c r="AV76" s="50"/>
      <c r="AW76" s="51">
        <v>22000</v>
      </c>
      <c r="AX76" s="50" t="s">
        <v>351</v>
      </c>
      <c r="AY76" s="52">
        <v>22000</v>
      </c>
      <c r="AZ76" s="54" t="s">
        <v>352</v>
      </c>
      <c r="BA76" s="54"/>
    </row>
    <row r="77" spans="1:53" ht="14.25" customHeight="1">
      <c r="A77" s="36">
        <v>69</v>
      </c>
      <c r="B77" s="37" t="s">
        <v>7</v>
      </c>
      <c r="C77" s="37" t="s">
        <v>353</v>
      </c>
      <c r="D77" s="19" t="s">
        <v>67</v>
      </c>
      <c r="E77" s="23"/>
      <c r="F77" s="36" t="s">
        <v>67</v>
      </c>
      <c r="G77" s="36" t="s">
        <v>67</v>
      </c>
      <c r="H77" s="36" t="s">
        <v>67</v>
      </c>
      <c r="I77" s="36" t="s">
        <v>67</v>
      </c>
      <c r="J77" s="36" t="s">
        <v>67</v>
      </c>
      <c r="K77" s="19" t="s">
        <v>73</v>
      </c>
      <c r="L77" s="23"/>
      <c r="M77" s="36" t="s">
        <v>67</v>
      </c>
      <c r="N77" s="36" t="s">
        <v>67</v>
      </c>
      <c r="O77" s="36" t="s">
        <v>67</v>
      </c>
      <c r="P77" s="36" t="s">
        <v>67</v>
      </c>
      <c r="Q77" s="36" t="s">
        <v>67</v>
      </c>
      <c r="R77" s="19" t="s">
        <v>67</v>
      </c>
      <c r="S77" s="23"/>
      <c r="T77" s="36" t="s">
        <v>67</v>
      </c>
      <c r="U77" s="36" t="s">
        <v>67</v>
      </c>
      <c r="V77" s="36" t="s">
        <v>67</v>
      </c>
      <c r="W77" s="36" t="s">
        <v>67</v>
      </c>
      <c r="X77" s="36" t="s">
        <v>67</v>
      </c>
      <c r="Y77" s="19" t="s">
        <v>73</v>
      </c>
      <c r="Z77" s="23"/>
      <c r="AA77" s="36" t="s">
        <v>67</v>
      </c>
      <c r="AB77" s="36" t="s">
        <v>67</v>
      </c>
      <c r="AC77" s="36" t="s">
        <v>67</v>
      </c>
      <c r="AD77" s="36" t="s">
        <v>67</v>
      </c>
      <c r="AE77" s="36" t="s">
        <v>67</v>
      </c>
      <c r="AF77" s="19" t="s">
        <v>73</v>
      </c>
      <c r="AG77" s="23"/>
      <c r="AH77" s="36" t="s">
        <v>67</v>
      </c>
      <c r="AI77" s="36"/>
      <c r="AJ77" s="36"/>
      <c r="AK77" s="43">
        <f t="shared" si="12"/>
        <v>23</v>
      </c>
      <c r="AL77" s="36">
        <v>0</v>
      </c>
      <c r="AM77" s="36">
        <f t="shared" si="13"/>
        <v>23</v>
      </c>
      <c r="AN77" s="44">
        <f t="shared" si="14"/>
        <v>23</v>
      </c>
      <c r="AO77" s="45" t="s">
        <v>7</v>
      </c>
      <c r="AP77" s="46" t="s">
        <v>353</v>
      </c>
      <c r="AQ77" s="46" t="s">
        <v>354</v>
      </c>
      <c r="AR77" s="47"/>
      <c r="AS77" s="63">
        <v>46279</v>
      </c>
      <c r="AT77" s="49"/>
      <c r="AU77" s="36">
        <v>30000</v>
      </c>
      <c r="AV77" s="50"/>
      <c r="AW77" s="51">
        <v>30000</v>
      </c>
      <c r="AX77" s="50"/>
      <c r="AY77" s="52"/>
      <c r="AZ77" s="54"/>
      <c r="BA77" s="54"/>
    </row>
    <row r="78" spans="1:53" ht="14.25" customHeight="1">
      <c r="A78" s="36">
        <v>70</v>
      </c>
      <c r="B78" s="37" t="s">
        <v>8</v>
      </c>
      <c r="C78" s="37" t="s">
        <v>355</v>
      </c>
      <c r="D78" s="19" t="s">
        <v>67</v>
      </c>
      <c r="E78" s="23"/>
      <c r="F78" s="36" t="s">
        <v>67</v>
      </c>
      <c r="G78" s="36" t="s">
        <v>67</v>
      </c>
      <c r="H78" s="36" t="s">
        <v>67</v>
      </c>
      <c r="I78" s="36" t="s">
        <v>67</v>
      </c>
      <c r="J78" s="36" t="s">
        <v>67</v>
      </c>
      <c r="K78" s="19" t="s">
        <v>73</v>
      </c>
      <c r="L78" s="23"/>
      <c r="M78" s="36" t="s">
        <v>67</v>
      </c>
      <c r="N78" s="36" t="s">
        <v>67</v>
      </c>
      <c r="O78" s="36" t="s">
        <v>67</v>
      </c>
      <c r="P78" s="36" t="s">
        <v>67</v>
      </c>
      <c r="Q78" s="36" t="s">
        <v>67</v>
      </c>
      <c r="R78" s="19" t="s">
        <v>67</v>
      </c>
      <c r="S78" s="23"/>
      <c r="T78" s="36" t="s">
        <v>67</v>
      </c>
      <c r="U78" s="36" t="s">
        <v>67</v>
      </c>
      <c r="V78" s="36" t="s">
        <v>67</v>
      </c>
      <c r="W78" s="36" t="s">
        <v>67</v>
      </c>
      <c r="X78" s="36" t="s">
        <v>67</v>
      </c>
      <c r="Y78" s="19" t="s">
        <v>73</v>
      </c>
      <c r="Z78" s="23" t="s">
        <v>67</v>
      </c>
      <c r="AA78" s="36" t="s">
        <v>67</v>
      </c>
      <c r="AB78" s="36" t="s">
        <v>67</v>
      </c>
      <c r="AC78" s="36" t="s">
        <v>67</v>
      </c>
      <c r="AD78" s="36" t="s">
        <v>67</v>
      </c>
      <c r="AE78" s="36" t="s">
        <v>67</v>
      </c>
      <c r="AF78" s="19" t="s">
        <v>73</v>
      </c>
      <c r="AG78" s="23"/>
      <c r="AH78" s="36" t="s">
        <v>67</v>
      </c>
      <c r="AI78" s="36"/>
      <c r="AJ78" s="36"/>
      <c r="AK78" s="43"/>
      <c r="AL78" s="36"/>
      <c r="AM78" s="36"/>
      <c r="AN78" s="44"/>
      <c r="AO78" s="45" t="s">
        <v>8</v>
      </c>
      <c r="AP78" s="46" t="s">
        <v>355</v>
      </c>
      <c r="AQ78" s="46" t="s">
        <v>356</v>
      </c>
      <c r="AR78" s="47"/>
      <c r="AS78" s="63">
        <v>46274</v>
      </c>
      <c r="AT78" s="49"/>
      <c r="AU78" s="36">
        <v>30000</v>
      </c>
      <c r="AV78" s="50"/>
      <c r="AW78" s="51">
        <v>30000</v>
      </c>
      <c r="AX78" s="50"/>
      <c r="AY78" s="52">
        <v>30000</v>
      </c>
      <c r="AZ78" s="54"/>
      <c r="BA78" s="54"/>
    </row>
    <row r="79" spans="1:53" ht="14.25" customHeight="1">
      <c r="A79" s="36">
        <v>71</v>
      </c>
      <c r="B79" s="37" t="s">
        <v>12</v>
      </c>
      <c r="C79" s="37" t="s">
        <v>357</v>
      </c>
      <c r="D79" s="19"/>
      <c r="E79" s="23"/>
      <c r="F79" s="36"/>
      <c r="G79" s="36"/>
      <c r="H79" s="36"/>
      <c r="I79" s="36"/>
      <c r="J79" s="36"/>
      <c r="K79" s="19"/>
      <c r="L79" s="23"/>
      <c r="M79" s="36"/>
      <c r="N79" s="36"/>
      <c r="O79" s="36"/>
      <c r="P79" s="36"/>
      <c r="Q79" s="36"/>
      <c r="R79" s="19"/>
      <c r="S79" s="23"/>
      <c r="T79" s="36"/>
      <c r="U79" s="36"/>
      <c r="V79" s="36"/>
      <c r="W79" s="36"/>
      <c r="X79" s="36"/>
      <c r="Y79" s="19"/>
      <c r="Z79" s="23"/>
      <c r="AA79" s="36"/>
      <c r="AB79" s="36"/>
      <c r="AC79" s="36"/>
      <c r="AD79" s="36"/>
      <c r="AE79" s="36"/>
      <c r="AF79" s="19"/>
      <c r="AG79" s="23"/>
      <c r="AH79" s="36"/>
      <c r="AI79" s="36"/>
      <c r="AJ79" s="36"/>
      <c r="AK79" s="43"/>
      <c r="AL79" s="36"/>
      <c r="AM79" s="36"/>
      <c r="AN79" s="44"/>
      <c r="AO79" s="45" t="s">
        <v>12</v>
      </c>
      <c r="AP79" s="48" t="s">
        <v>357</v>
      </c>
      <c r="AQ79" s="48" t="s">
        <v>358</v>
      </c>
      <c r="AR79" s="47"/>
      <c r="AS79" s="48"/>
      <c r="AT79" s="49"/>
      <c r="AU79" s="36">
        <v>30000</v>
      </c>
      <c r="AV79" s="50"/>
      <c r="AW79" s="51">
        <v>30000</v>
      </c>
      <c r="AX79" s="50"/>
      <c r="AY79" s="52">
        <v>30000</v>
      </c>
      <c r="AZ79" s="54"/>
      <c r="BA79" s="54"/>
    </row>
    <row r="80" spans="1:53" ht="14.25" customHeight="1">
      <c r="A80" s="76"/>
      <c r="B80" s="77" t="s">
        <v>172</v>
      </c>
      <c r="C80" s="77"/>
      <c r="D80" s="76"/>
      <c r="E80" s="76"/>
      <c r="F80" s="76"/>
      <c r="G80" s="78"/>
      <c r="H80" s="78"/>
      <c r="I80" s="76"/>
      <c r="J80" s="76"/>
      <c r="K80" s="76"/>
      <c r="L80" s="76"/>
      <c r="M80" s="76"/>
      <c r="N80" s="78"/>
      <c r="O80" s="78"/>
      <c r="P80" s="76"/>
      <c r="Q80" s="76"/>
      <c r="R80" s="76"/>
      <c r="S80" s="76"/>
      <c r="T80" s="76"/>
      <c r="U80" s="78"/>
      <c r="V80" s="78"/>
      <c r="W80" s="76"/>
      <c r="X80" s="76"/>
      <c r="Y80" s="76"/>
      <c r="Z80" s="76"/>
      <c r="AA80" s="76"/>
      <c r="AB80" s="78"/>
      <c r="AC80" s="78"/>
      <c r="AD80" s="76"/>
      <c r="AE80" s="76"/>
      <c r="AF80" s="76"/>
      <c r="AG80" s="76"/>
      <c r="AH80" s="76"/>
      <c r="AI80" s="76"/>
      <c r="AJ80" s="76"/>
      <c r="AK80" s="79"/>
      <c r="AL80" s="79"/>
      <c r="AM80" s="76"/>
      <c r="AN80" s="76"/>
      <c r="AO80" s="80"/>
      <c r="AP80" s="80"/>
      <c r="AQ80" s="80"/>
      <c r="AR80" s="80">
        <f>SUM(AR3:AR68)</f>
        <v>1409500</v>
      </c>
      <c r="AS80" s="80"/>
      <c r="AT80" s="80">
        <f>SUM(AT3:AT69)</f>
        <v>1236436</v>
      </c>
      <c r="AU80" s="80">
        <f>SUM(AU3:AU69) + SUM(AU71:AU79)</f>
        <v>1165500</v>
      </c>
      <c r="AV80" s="81"/>
      <c r="AW80" s="80">
        <f>SUM(AW3:AW69)+SUM(AW71:AW79)</f>
        <v>1078450</v>
      </c>
      <c r="AX80" s="81"/>
      <c r="AY80" s="52">
        <f>AT80-AW80</f>
        <v>157986</v>
      </c>
      <c r="AZ80" s="79"/>
      <c r="BA80" s="79"/>
    </row>
    <row r="81" spans="1:53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</row>
    <row r="82" spans="1:53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 t="s">
        <v>359</v>
      </c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</row>
    <row r="83" spans="1:53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</row>
    <row r="84" spans="1:53" ht="14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</row>
    <row r="85" spans="1:53" ht="14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</row>
    <row r="86" spans="1:53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</row>
    <row r="87" spans="1:53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</row>
    <row r="88" spans="1:53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</row>
    <row r="89" spans="1:53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</row>
    <row r="91" spans="1:53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 t="s">
        <v>172</v>
      </c>
      <c r="AP91" s="54"/>
      <c r="AQ91" s="54"/>
      <c r="AR91" s="54" t="s">
        <v>360</v>
      </c>
      <c r="AS91" s="54"/>
      <c r="AT91" s="54"/>
      <c r="AU91" s="54"/>
      <c r="AV91" s="54"/>
      <c r="AW91" s="54" t="s">
        <v>360</v>
      </c>
      <c r="AX91" s="54"/>
      <c r="AY91" s="54"/>
      <c r="AZ91" s="54"/>
      <c r="BA91" s="54"/>
    </row>
  </sheetData>
  <mergeCells count="1">
    <mergeCell ref="A1:AN1"/>
  </mergeCells>
  <hyperlinks>
    <hyperlink ref="A2" r:id="rId1" xr:uid="{00000000-0004-0000-0000-000000000000}"/>
  </hyperlinks>
  <pageMargins left="0.7" right="0.7" top="0.75" bottom="0.75" header="0" footer="0"/>
  <pageSetup orientation="landscape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6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2.6640625" defaultRowHeight="15" customHeight="1"/>
  <cols>
    <col min="1" max="1" width="23.44140625" customWidth="1"/>
    <col min="2" max="3" width="15.33203125" customWidth="1"/>
    <col min="4" max="4" width="17.6640625" customWidth="1"/>
    <col min="5" max="5" width="20" customWidth="1"/>
    <col min="6" max="6" width="16.33203125" customWidth="1"/>
    <col min="7" max="7" width="19.77734375" customWidth="1"/>
    <col min="8" max="8" width="19.21875" customWidth="1"/>
    <col min="9" max="9" width="15.33203125" customWidth="1"/>
    <col min="10" max="10" width="18.33203125" customWidth="1"/>
    <col min="11" max="11" width="24.44140625" customWidth="1"/>
  </cols>
  <sheetData>
    <row r="1" spans="1:12" ht="22.5" customHeight="1">
      <c r="A1" s="1" t="s">
        <v>361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18</v>
      </c>
    </row>
    <row r="2" spans="1:12" ht="22.5" customHeight="1">
      <c r="A2" s="6">
        <v>1</v>
      </c>
      <c r="B2" s="6">
        <v>0</v>
      </c>
      <c r="C2" s="6">
        <v>0</v>
      </c>
      <c r="D2" s="6">
        <v>0</v>
      </c>
      <c r="E2" s="6">
        <v>0</v>
      </c>
      <c r="F2" s="6"/>
      <c r="G2" s="6">
        <v>0</v>
      </c>
      <c r="H2" s="6">
        <v>13000</v>
      </c>
      <c r="I2" s="6">
        <v>0</v>
      </c>
      <c r="J2" s="6">
        <v>0</v>
      </c>
      <c r="K2" s="6">
        <v>0</v>
      </c>
      <c r="L2" s="6">
        <f t="shared" ref="L2:L25" si="0">SUM(B2:K2)</f>
        <v>13000</v>
      </c>
    </row>
    <row r="3" spans="1:12" ht="22.5" customHeight="1">
      <c r="A3" s="6">
        <v>2</v>
      </c>
      <c r="B3" s="6">
        <v>0</v>
      </c>
      <c r="C3" s="6">
        <v>0</v>
      </c>
      <c r="D3" s="6">
        <v>0</v>
      </c>
      <c r="E3" s="6">
        <v>0</v>
      </c>
      <c r="F3" s="6"/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f t="shared" si="0"/>
        <v>0</v>
      </c>
    </row>
    <row r="4" spans="1:12" ht="22.5" customHeight="1">
      <c r="A4" s="6">
        <v>3</v>
      </c>
      <c r="B4" s="6">
        <v>0</v>
      </c>
      <c r="C4" s="6">
        <v>0</v>
      </c>
      <c r="D4" s="6">
        <v>0</v>
      </c>
      <c r="E4" s="6">
        <v>250</v>
      </c>
      <c r="F4" s="6"/>
      <c r="G4" s="6">
        <v>3700</v>
      </c>
      <c r="H4" s="6">
        <v>10000</v>
      </c>
      <c r="I4" s="6">
        <v>0</v>
      </c>
      <c r="J4" s="6">
        <v>0</v>
      </c>
      <c r="K4" s="6">
        <v>0</v>
      </c>
      <c r="L4" s="6">
        <f t="shared" si="0"/>
        <v>13950</v>
      </c>
    </row>
    <row r="5" spans="1:12" ht="22.5" customHeight="1">
      <c r="A5" s="6">
        <v>4</v>
      </c>
      <c r="B5" s="6">
        <v>60</v>
      </c>
      <c r="C5" s="6">
        <v>305</v>
      </c>
      <c r="D5" s="6">
        <v>0</v>
      </c>
      <c r="E5" s="6">
        <v>76</v>
      </c>
      <c r="F5" s="6"/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f t="shared" si="0"/>
        <v>441</v>
      </c>
    </row>
    <row r="6" spans="1:12" ht="22.5" customHeight="1">
      <c r="A6" s="6">
        <v>5</v>
      </c>
      <c r="B6" s="6">
        <v>43</v>
      </c>
      <c r="C6" s="6">
        <v>200</v>
      </c>
      <c r="D6" s="6">
        <v>20</v>
      </c>
      <c r="E6" s="6">
        <v>0</v>
      </c>
      <c r="F6" s="6"/>
      <c r="G6" s="6">
        <v>0</v>
      </c>
      <c r="H6" s="6">
        <v>0</v>
      </c>
      <c r="I6" s="6">
        <v>0</v>
      </c>
      <c r="J6" s="6">
        <v>0</v>
      </c>
      <c r="K6" s="6">
        <v>25000</v>
      </c>
      <c r="L6" s="6">
        <f t="shared" si="0"/>
        <v>25263</v>
      </c>
    </row>
    <row r="7" spans="1:12" ht="22.5" customHeight="1">
      <c r="A7" s="6">
        <v>6</v>
      </c>
      <c r="B7" s="6">
        <v>49</v>
      </c>
      <c r="C7" s="6">
        <v>55</v>
      </c>
      <c r="D7" s="6">
        <v>124</v>
      </c>
      <c r="E7" s="6">
        <v>37</v>
      </c>
      <c r="F7" s="6"/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f t="shared" si="0"/>
        <v>265</v>
      </c>
    </row>
    <row r="8" spans="1:12" ht="22.5" customHeight="1">
      <c r="A8" s="6">
        <v>7</v>
      </c>
      <c r="B8" s="6">
        <v>80</v>
      </c>
      <c r="C8" s="6">
        <v>327</v>
      </c>
      <c r="D8" s="6">
        <v>40</v>
      </c>
      <c r="E8" s="6">
        <v>1240</v>
      </c>
      <c r="F8" s="6"/>
      <c r="G8" s="6"/>
      <c r="H8" s="6">
        <v>0</v>
      </c>
      <c r="I8" s="6">
        <v>0</v>
      </c>
      <c r="J8" s="6">
        <v>0</v>
      </c>
      <c r="K8" s="6">
        <v>0</v>
      </c>
      <c r="L8" s="6">
        <f t="shared" si="0"/>
        <v>1687</v>
      </c>
    </row>
    <row r="9" spans="1:12" ht="22.5" customHeight="1">
      <c r="A9" s="6">
        <v>8</v>
      </c>
      <c r="B9" s="6">
        <v>45</v>
      </c>
      <c r="C9" s="6">
        <v>300</v>
      </c>
      <c r="D9" s="6">
        <v>80</v>
      </c>
      <c r="E9" s="6">
        <v>0</v>
      </c>
      <c r="F9" s="6">
        <v>272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f t="shared" si="0"/>
        <v>697</v>
      </c>
    </row>
    <row r="10" spans="1:12" ht="22.5" customHeight="1">
      <c r="A10" s="6">
        <v>9</v>
      </c>
      <c r="B10" s="6">
        <v>0</v>
      </c>
      <c r="C10" s="6">
        <v>0</v>
      </c>
      <c r="D10" s="6">
        <v>0</v>
      </c>
      <c r="E10" s="6">
        <v>450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f t="shared" si="0"/>
        <v>450</v>
      </c>
    </row>
    <row r="11" spans="1:12" ht="22.5" customHeight="1">
      <c r="A11" s="6">
        <v>10</v>
      </c>
      <c r="B11" s="6">
        <v>270</v>
      </c>
      <c r="C11" s="6">
        <v>60</v>
      </c>
      <c r="D11" s="6">
        <v>30</v>
      </c>
      <c r="E11" s="6">
        <v>0</v>
      </c>
      <c r="F11" s="6">
        <v>0</v>
      </c>
      <c r="G11" s="6" t="s">
        <v>114</v>
      </c>
      <c r="H11" s="6">
        <v>0</v>
      </c>
      <c r="I11" s="6">
        <v>0</v>
      </c>
      <c r="J11" s="6">
        <v>0</v>
      </c>
      <c r="K11" s="6">
        <v>0</v>
      </c>
      <c r="L11" s="6">
        <f t="shared" si="0"/>
        <v>360</v>
      </c>
    </row>
    <row r="12" spans="1:12" ht="22.5" customHeight="1">
      <c r="A12" s="6">
        <v>11</v>
      </c>
      <c r="B12" s="6">
        <v>45</v>
      </c>
      <c r="C12" s="6">
        <v>180</v>
      </c>
      <c r="D12" s="6">
        <v>20</v>
      </c>
      <c r="E12" s="6">
        <v>0</v>
      </c>
      <c r="F12" s="6">
        <v>0</v>
      </c>
      <c r="G12" s="6">
        <v>0</v>
      </c>
      <c r="H12" s="6"/>
      <c r="I12" s="6">
        <v>0</v>
      </c>
      <c r="J12" s="6">
        <v>0</v>
      </c>
      <c r="K12" s="6">
        <v>0</v>
      </c>
      <c r="L12" s="6">
        <f t="shared" si="0"/>
        <v>245</v>
      </c>
    </row>
    <row r="13" spans="1:12" ht="22.5" customHeight="1">
      <c r="A13" s="6">
        <v>12</v>
      </c>
      <c r="B13" s="6">
        <v>0</v>
      </c>
      <c r="C13" s="6">
        <v>70</v>
      </c>
      <c r="D13" s="6">
        <v>0</v>
      </c>
      <c r="E13" s="6">
        <v>0</v>
      </c>
      <c r="F13" s="6">
        <v>0</v>
      </c>
      <c r="G13" s="6">
        <v>0</v>
      </c>
      <c r="H13" s="21"/>
      <c r="I13" s="6">
        <v>11000</v>
      </c>
      <c r="J13" s="6">
        <v>0</v>
      </c>
      <c r="K13" s="6">
        <v>0</v>
      </c>
      <c r="L13" s="6">
        <f t="shared" si="0"/>
        <v>11070</v>
      </c>
    </row>
    <row r="14" spans="1:12" ht="22.5" customHeight="1">
      <c r="A14" s="6">
        <v>13</v>
      </c>
      <c r="B14" s="6">
        <v>40</v>
      </c>
      <c r="C14" s="6">
        <v>80</v>
      </c>
      <c r="D14" s="6">
        <v>67</v>
      </c>
      <c r="E14" s="6">
        <v>1092</v>
      </c>
      <c r="F14" s="6">
        <v>0</v>
      </c>
      <c r="G14" s="6"/>
      <c r="H14" s="6">
        <v>10000</v>
      </c>
      <c r="I14" s="6">
        <v>0</v>
      </c>
      <c r="J14" s="6">
        <v>0</v>
      </c>
      <c r="K14" s="6">
        <v>0</v>
      </c>
      <c r="L14" s="6">
        <f t="shared" si="0"/>
        <v>11279</v>
      </c>
    </row>
    <row r="15" spans="1:12" ht="22.5" customHeight="1">
      <c r="A15" s="6">
        <v>14</v>
      </c>
      <c r="B15" s="6">
        <v>70</v>
      </c>
      <c r="C15" s="6">
        <v>80</v>
      </c>
      <c r="D15" s="6">
        <v>0</v>
      </c>
      <c r="E15" s="6">
        <v>25</v>
      </c>
      <c r="F15" s="6">
        <v>0</v>
      </c>
      <c r="G15" s="6" t="s">
        <v>141</v>
      </c>
      <c r="H15" s="6">
        <v>0</v>
      </c>
      <c r="I15" s="6">
        <v>0</v>
      </c>
      <c r="J15" s="6">
        <v>0</v>
      </c>
      <c r="K15" s="6">
        <v>0</v>
      </c>
      <c r="L15" s="6">
        <f t="shared" si="0"/>
        <v>175</v>
      </c>
    </row>
    <row r="16" spans="1:12" ht="22.5" customHeight="1">
      <c r="A16" s="6">
        <v>15</v>
      </c>
      <c r="B16" s="6">
        <v>0</v>
      </c>
      <c r="C16" s="6">
        <v>0</v>
      </c>
      <c r="D16" s="6">
        <v>0</v>
      </c>
      <c r="E16" s="6">
        <v>0</v>
      </c>
      <c r="F16" s="6"/>
      <c r="G16" s="6"/>
      <c r="H16" s="6">
        <v>0</v>
      </c>
      <c r="I16" s="6"/>
      <c r="J16" s="6">
        <v>0</v>
      </c>
      <c r="K16" s="6">
        <v>0</v>
      </c>
      <c r="L16" s="6">
        <f t="shared" si="0"/>
        <v>0</v>
      </c>
    </row>
    <row r="17" spans="1:12" ht="22.5" customHeight="1">
      <c r="A17" s="6">
        <v>16</v>
      </c>
      <c r="B17" s="6">
        <v>0</v>
      </c>
      <c r="C17" s="6">
        <v>0</v>
      </c>
      <c r="D17" s="6">
        <v>0</v>
      </c>
      <c r="E17" s="6">
        <v>0</v>
      </c>
      <c r="F17" s="6"/>
      <c r="G17" s="6">
        <v>0</v>
      </c>
      <c r="H17" s="6"/>
      <c r="I17" s="6">
        <v>0</v>
      </c>
      <c r="J17" s="6">
        <v>0</v>
      </c>
      <c r="K17" s="6">
        <v>0</v>
      </c>
      <c r="L17" s="6">
        <f t="shared" si="0"/>
        <v>0</v>
      </c>
    </row>
    <row r="18" spans="1:12" ht="22.5" customHeight="1">
      <c r="A18" s="6">
        <v>17</v>
      </c>
      <c r="B18" s="6">
        <v>50</v>
      </c>
      <c r="C18" s="6">
        <v>120</v>
      </c>
      <c r="D18" s="6">
        <v>95</v>
      </c>
      <c r="E18" s="6">
        <v>18</v>
      </c>
      <c r="F18" s="6"/>
      <c r="G18" s="6" t="s">
        <v>151</v>
      </c>
      <c r="H18" s="6"/>
      <c r="I18" s="6">
        <v>0</v>
      </c>
      <c r="J18" s="6">
        <v>0</v>
      </c>
      <c r="K18" s="6">
        <v>0</v>
      </c>
      <c r="L18" s="6">
        <f t="shared" si="0"/>
        <v>283</v>
      </c>
    </row>
    <row r="19" spans="1:12" ht="22.5" customHeight="1">
      <c r="A19" s="6">
        <v>18</v>
      </c>
      <c r="B19" s="6">
        <v>40</v>
      </c>
      <c r="C19" s="6">
        <v>90</v>
      </c>
      <c r="D19" s="6">
        <v>90</v>
      </c>
      <c r="E19" s="6">
        <v>0</v>
      </c>
      <c r="F19" s="6"/>
      <c r="G19" s="6" t="s">
        <v>153</v>
      </c>
      <c r="H19" s="6">
        <v>5000</v>
      </c>
      <c r="I19" s="6">
        <v>0</v>
      </c>
      <c r="J19" s="6">
        <v>0</v>
      </c>
      <c r="K19" s="6">
        <v>0</v>
      </c>
      <c r="L19" s="6">
        <f t="shared" si="0"/>
        <v>5220</v>
      </c>
    </row>
    <row r="20" spans="1:12" ht="22.5" customHeight="1">
      <c r="A20" s="6">
        <v>19</v>
      </c>
      <c r="B20" s="6">
        <v>40</v>
      </c>
      <c r="C20" s="6">
        <v>150</v>
      </c>
      <c r="D20" s="6">
        <v>124</v>
      </c>
      <c r="E20" s="6">
        <v>55</v>
      </c>
      <c r="F20" s="6" t="s">
        <v>156</v>
      </c>
      <c r="G20" s="6">
        <v>0</v>
      </c>
      <c r="H20" s="6">
        <v>0</v>
      </c>
      <c r="I20" s="6">
        <v>0</v>
      </c>
      <c r="J20" s="6">
        <v>5000</v>
      </c>
      <c r="K20" s="6">
        <v>0</v>
      </c>
      <c r="L20" s="6">
        <f t="shared" si="0"/>
        <v>5369</v>
      </c>
    </row>
    <row r="21" spans="1:12" ht="22.5" customHeight="1">
      <c r="A21" s="6">
        <v>20</v>
      </c>
      <c r="B21" s="6">
        <v>49</v>
      </c>
      <c r="C21" s="6">
        <v>0</v>
      </c>
      <c r="D21" s="6">
        <v>0</v>
      </c>
      <c r="E21" s="6">
        <v>38</v>
      </c>
      <c r="F21" s="6">
        <v>172</v>
      </c>
      <c r="G21" s="6"/>
      <c r="H21" s="6"/>
      <c r="I21" s="6">
        <v>0</v>
      </c>
      <c r="J21" s="6">
        <v>0</v>
      </c>
      <c r="K21" s="6">
        <v>0</v>
      </c>
      <c r="L21" s="6">
        <f t="shared" si="0"/>
        <v>259</v>
      </c>
    </row>
    <row r="22" spans="1:12" ht="22.5" customHeight="1">
      <c r="A22" s="6">
        <v>21</v>
      </c>
      <c r="B22" s="6">
        <v>80</v>
      </c>
      <c r="C22" s="6">
        <v>120</v>
      </c>
      <c r="D22" s="6">
        <v>80</v>
      </c>
      <c r="E22" s="6"/>
      <c r="F22" s="6"/>
      <c r="G22" s="6"/>
      <c r="H22" s="6"/>
      <c r="I22" s="6">
        <v>0</v>
      </c>
      <c r="J22" s="6">
        <v>0</v>
      </c>
      <c r="K22" s="6">
        <v>0</v>
      </c>
      <c r="L22" s="6">
        <f t="shared" si="0"/>
        <v>280</v>
      </c>
    </row>
    <row r="23" spans="1:12" ht="22.5" customHeight="1">
      <c r="A23" s="6">
        <v>22</v>
      </c>
      <c r="B23" s="6">
        <v>80</v>
      </c>
      <c r="C23" s="6">
        <v>120</v>
      </c>
      <c r="D23" s="6">
        <v>80</v>
      </c>
      <c r="E23" s="6" t="s">
        <v>160</v>
      </c>
      <c r="F23" s="6">
        <v>3072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f t="shared" si="0"/>
        <v>3352</v>
      </c>
    </row>
    <row r="24" spans="1:12" ht="22.5" customHeight="1">
      <c r="A24" s="6">
        <v>23</v>
      </c>
      <c r="B24" s="6"/>
      <c r="C24" s="6"/>
      <c r="D24" s="6"/>
      <c r="E24" s="6"/>
      <c r="F24" s="6" t="s">
        <v>161</v>
      </c>
      <c r="G24" s="6">
        <v>0</v>
      </c>
      <c r="H24" s="6"/>
      <c r="I24" s="6"/>
      <c r="J24" s="6">
        <v>0</v>
      </c>
      <c r="K24" s="6">
        <v>0</v>
      </c>
      <c r="L24" s="6">
        <f t="shared" si="0"/>
        <v>0</v>
      </c>
    </row>
    <row r="25" spans="1:12" ht="22.5" customHeight="1">
      <c r="A25" s="6">
        <v>24</v>
      </c>
      <c r="B25" s="6"/>
      <c r="C25" s="6"/>
      <c r="D25" s="6"/>
      <c r="E25" s="6"/>
      <c r="F25" s="6">
        <v>0</v>
      </c>
      <c r="G25" s="6">
        <v>0</v>
      </c>
      <c r="H25" s="6"/>
      <c r="I25" s="6">
        <v>0</v>
      </c>
      <c r="J25" s="6">
        <v>0</v>
      </c>
      <c r="K25" s="6">
        <v>0</v>
      </c>
      <c r="L25" s="6">
        <f t="shared" si="0"/>
        <v>0</v>
      </c>
    </row>
    <row r="26" spans="1:12" ht="22.5" customHeight="1">
      <c r="A26" s="6">
        <v>25</v>
      </c>
      <c r="B26" s="6"/>
      <c r="C26" s="6"/>
      <c r="D26" s="6"/>
      <c r="E26" s="6"/>
      <c r="F26" s="6">
        <v>0</v>
      </c>
      <c r="G26" s="6">
        <v>0</v>
      </c>
      <c r="H26" s="6"/>
      <c r="I26" s="6">
        <v>0</v>
      </c>
      <c r="J26" s="6">
        <v>0</v>
      </c>
      <c r="K26" s="6"/>
      <c r="L26" s="6"/>
    </row>
    <row r="27" spans="1:12" ht="22.5" customHeight="1">
      <c r="A27" s="6">
        <v>26</v>
      </c>
      <c r="B27" s="21"/>
      <c r="C27" s="21"/>
      <c r="D27" s="21"/>
      <c r="E27" s="6"/>
      <c r="F27" s="21">
        <v>146</v>
      </c>
      <c r="G27" s="21">
        <v>0</v>
      </c>
      <c r="H27" s="21"/>
      <c r="I27" s="21"/>
      <c r="J27" s="21"/>
      <c r="K27" s="21"/>
      <c r="L27" s="21">
        <f t="shared" ref="L27:L33" si="1">SUM(B27:K27)</f>
        <v>146</v>
      </c>
    </row>
    <row r="28" spans="1:12" ht="22.5" customHeight="1">
      <c r="A28" s="6">
        <v>27</v>
      </c>
      <c r="B28" s="21"/>
      <c r="C28" s="21"/>
      <c r="D28" s="21"/>
      <c r="E28" s="6"/>
      <c r="F28" s="21"/>
      <c r="G28" s="21">
        <v>0</v>
      </c>
      <c r="H28" s="21"/>
      <c r="I28" s="21"/>
      <c r="J28" s="21"/>
      <c r="K28" s="21"/>
      <c r="L28" s="21">
        <f t="shared" si="1"/>
        <v>0</v>
      </c>
    </row>
    <row r="29" spans="1:12" ht="22.5" customHeight="1">
      <c r="A29" s="6">
        <v>28</v>
      </c>
      <c r="B29" s="21"/>
      <c r="C29" s="21"/>
      <c r="D29" s="21"/>
      <c r="E29" s="6"/>
      <c r="F29" s="21"/>
      <c r="G29" s="21">
        <v>0</v>
      </c>
      <c r="H29" s="21"/>
      <c r="I29" s="21"/>
      <c r="J29" s="21"/>
      <c r="K29" s="21"/>
      <c r="L29" s="21">
        <f t="shared" si="1"/>
        <v>0</v>
      </c>
    </row>
    <row r="30" spans="1:12" ht="22.5" customHeight="1">
      <c r="A30" s="6">
        <v>29</v>
      </c>
      <c r="B30" s="21"/>
      <c r="C30" s="21"/>
      <c r="D30" s="21"/>
      <c r="E30" s="6"/>
      <c r="F30" s="21"/>
      <c r="G30" s="21">
        <v>0</v>
      </c>
      <c r="H30" s="21"/>
      <c r="I30" s="21"/>
      <c r="J30" s="21"/>
      <c r="K30" s="21"/>
      <c r="L30" s="21">
        <f t="shared" si="1"/>
        <v>0</v>
      </c>
    </row>
    <row r="31" spans="1:12" ht="22.5" customHeight="1">
      <c r="A31" s="6">
        <v>30</v>
      </c>
      <c r="B31" s="21"/>
      <c r="C31" s="21"/>
      <c r="D31" s="21"/>
      <c r="E31" s="6"/>
      <c r="F31" s="21"/>
      <c r="G31" s="21">
        <v>0</v>
      </c>
      <c r="H31" s="21">
        <v>0</v>
      </c>
      <c r="I31" s="21"/>
      <c r="J31" s="21"/>
      <c r="K31" s="21"/>
      <c r="L31" s="21">
        <f t="shared" si="1"/>
        <v>0</v>
      </c>
    </row>
    <row r="32" spans="1:12" ht="22.5" customHeight="1">
      <c r="A32" s="6"/>
      <c r="B32" s="21"/>
      <c r="C32" s="21"/>
      <c r="D32" s="21"/>
      <c r="E32" s="6"/>
      <c r="F32" s="21"/>
      <c r="G32" s="21">
        <v>0</v>
      </c>
      <c r="H32" s="21">
        <v>0</v>
      </c>
      <c r="I32" s="21"/>
      <c r="J32" s="21"/>
      <c r="K32" s="21"/>
      <c r="L32" s="21">
        <f t="shared" si="1"/>
        <v>0</v>
      </c>
    </row>
    <row r="33" spans="1:12" ht="22.5" customHeight="1">
      <c r="A33" s="1" t="s">
        <v>172</v>
      </c>
      <c r="B33" s="21">
        <f t="shared" ref="B33:C33" si="2">SUM(B2:B32)</f>
        <v>1041</v>
      </c>
      <c r="C33" s="21">
        <f t="shared" si="2"/>
        <v>2257</v>
      </c>
      <c r="D33" s="21"/>
      <c r="E33" s="21"/>
      <c r="F33" s="21">
        <f t="shared" ref="F33:K33" si="3">SUM(F2:F32)</f>
        <v>3662</v>
      </c>
      <c r="G33" s="21">
        <f t="shared" si="3"/>
        <v>3700</v>
      </c>
      <c r="H33" s="21">
        <f t="shared" si="3"/>
        <v>38000</v>
      </c>
      <c r="I33" s="17">
        <f t="shared" si="3"/>
        <v>11000</v>
      </c>
      <c r="J33" s="21">
        <f t="shared" si="3"/>
        <v>5000</v>
      </c>
      <c r="K33" s="17">
        <f t="shared" si="3"/>
        <v>25000</v>
      </c>
      <c r="L33" s="21">
        <f t="shared" si="1"/>
        <v>89660</v>
      </c>
    </row>
    <row r="37" spans="1:12" ht="14.4">
      <c r="E37" s="6"/>
    </row>
    <row r="38" spans="1:12" ht="14.4">
      <c r="A38" s="6" t="s">
        <v>174</v>
      </c>
      <c r="E38" s="6"/>
    </row>
    <row r="39" spans="1:12" ht="14.4">
      <c r="E39" s="6"/>
    </row>
    <row r="40" spans="1:12" ht="14.4">
      <c r="A40" s="6" t="s">
        <v>175</v>
      </c>
      <c r="E40" s="6"/>
    </row>
    <row r="41" spans="1:12" ht="14.4">
      <c r="A41" s="6" t="s">
        <v>176</v>
      </c>
      <c r="E41" s="6"/>
    </row>
    <row r="42" spans="1:12" ht="14.4">
      <c r="A42" s="6" t="s">
        <v>177</v>
      </c>
      <c r="E42" s="6"/>
    </row>
    <row r="43" spans="1:12" ht="14.4">
      <c r="A43" s="6" t="s">
        <v>178</v>
      </c>
    </row>
    <row r="44" spans="1:12" ht="14.4">
      <c r="A44" s="6" t="s">
        <v>179</v>
      </c>
    </row>
    <row r="45" spans="1:12" ht="14.4">
      <c r="A45" s="6" t="s">
        <v>180</v>
      </c>
    </row>
    <row r="46" spans="1:12" ht="14.4">
      <c r="A46" s="6" t="s">
        <v>181</v>
      </c>
    </row>
  </sheetData>
  <dataValidations count="1">
    <dataValidation type="custom" allowBlank="1" showDropDown="1" sqref="A2:K33" xr:uid="{00000000-0002-0000-02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3.33203125" customWidth="1"/>
    <col min="2" max="2" width="11.33203125" customWidth="1"/>
    <col min="3" max="3" width="15.109375" customWidth="1"/>
    <col min="4" max="4" width="24.77734375" customWidth="1"/>
    <col min="5" max="5" width="17.88671875" customWidth="1"/>
    <col min="6" max="6" width="25.44140625" customWidth="1"/>
    <col min="8" max="8" width="20.88671875" customWidth="1"/>
  </cols>
  <sheetData>
    <row r="1" spans="1:9" ht="22.5" customHeight="1">
      <c r="A1" s="1" t="s">
        <v>9</v>
      </c>
      <c r="B1" s="1" t="s">
        <v>14</v>
      </c>
      <c r="C1" s="1" t="s">
        <v>17</v>
      </c>
      <c r="D1" s="4" t="s">
        <v>19</v>
      </c>
      <c r="E1" s="4" t="s">
        <v>20</v>
      </c>
      <c r="F1" s="8" t="s">
        <v>21</v>
      </c>
    </row>
    <row r="2" spans="1:9" ht="22.5" customHeight="1">
      <c r="A2" s="11">
        <v>1</v>
      </c>
      <c r="B2" s="12">
        <v>46204</v>
      </c>
      <c r="C2" s="13" t="s">
        <v>7</v>
      </c>
      <c r="D2" s="13" t="s">
        <v>22</v>
      </c>
      <c r="E2" s="14">
        <v>55</v>
      </c>
      <c r="F2" s="16"/>
      <c r="H2" s="6" t="s">
        <v>23</v>
      </c>
      <c r="I2" s="21">
        <f>SUM(E2:E100)</f>
        <v>2219</v>
      </c>
    </row>
    <row r="3" spans="1:9" ht="22.5" customHeight="1">
      <c r="A3" s="11">
        <v>2</v>
      </c>
      <c r="B3" s="12"/>
      <c r="C3" s="13" t="s">
        <v>27</v>
      </c>
      <c r="D3" s="13" t="s">
        <v>29</v>
      </c>
      <c r="E3" s="14">
        <v>64</v>
      </c>
      <c r="F3" s="16" t="s">
        <v>31</v>
      </c>
    </row>
    <row r="4" spans="1:9" ht="22.5" customHeight="1">
      <c r="A4" s="11">
        <v>3</v>
      </c>
      <c r="B4" s="12"/>
      <c r="C4" s="13" t="s">
        <v>44</v>
      </c>
      <c r="D4" s="13" t="s">
        <v>47</v>
      </c>
      <c r="E4" s="14">
        <v>20</v>
      </c>
      <c r="F4" s="16" t="s">
        <v>52</v>
      </c>
    </row>
    <row r="5" spans="1:9" ht="22.5" customHeight="1">
      <c r="A5" s="11">
        <v>4</v>
      </c>
      <c r="B5" s="12"/>
      <c r="C5" s="13" t="s">
        <v>6</v>
      </c>
      <c r="D5" s="13" t="s">
        <v>62</v>
      </c>
      <c r="E5" s="14"/>
      <c r="F5" s="16" t="s">
        <v>66</v>
      </c>
    </row>
    <row r="6" spans="1:9" ht="22.5" customHeight="1">
      <c r="A6" s="11">
        <v>5</v>
      </c>
      <c r="B6" s="38">
        <v>46205</v>
      </c>
      <c r="C6" s="13" t="s">
        <v>7</v>
      </c>
      <c r="D6" s="13" t="s">
        <v>22</v>
      </c>
      <c r="E6" s="14"/>
      <c r="F6" s="16"/>
    </row>
    <row r="7" spans="1:9" ht="22.5" customHeight="1">
      <c r="A7" s="11">
        <v>6</v>
      </c>
      <c r="B7" s="39"/>
      <c r="C7" s="13" t="s">
        <v>27</v>
      </c>
      <c r="D7" s="13" t="s">
        <v>22</v>
      </c>
      <c r="E7" s="14"/>
      <c r="F7" s="16" t="s">
        <v>80</v>
      </c>
    </row>
    <row r="8" spans="1:9" ht="22.5" customHeight="1">
      <c r="A8" s="11">
        <v>7</v>
      </c>
      <c r="B8" s="40"/>
      <c r="C8" s="13" t="s">
        <v>44</v>
      </c>
      <c r="D8" s="13" t="s">
        <v>22</v>
      </c>
      <c r="E8" s="14"/>
      <c r="F8" s="16" t="s">
        <v>82</v>
      </c>
    </row>
    <row r="9" spans="1:9" ht="22.5" customHeight="1">
      <c r="A9" s="11">
        <v>8</v>
      </c>
      <c r="B9" s="40"/>
      <c r="C9" s="13" t="s">
        <v>6</v>
      </c>
      <c r="D9" s="13" t="s">
        <v>84</v>
      </c>
      <c r="E9" s="14">
        <v>20</v>
      </c>
      <c r="F9" s="16" t="s">
        <v>52</v>
      </c>
    </row>
    <row r="10" spans="1:9" ht="22.5" customHeight="1">
      <c r="A10" s="11">
        <v>9</v>
      </c>
      <c r="B10" s="12">
        <v>46206</v>
      </c>
      <c r="C10" s="13" t="s">
        <v>7</v>
      </c>
      <c r="D10" s="13" t="s">
        <v>22</v>
      </c>
      <c r="E10" s="14"/>
      <c r="F10" s="16"/>
    </row>
    <row r="11" spans="1:9" ht="22.5" customHeight="1">
      <c r="A11" s="11">
        <v>10</v>
      </c>
      <c r="B11" s="39"/>
      <c r="C11" s="13" t="s">
        <v>27</v>
      </c>
      <c r="D11" s="13" t="s">
        <v>22</v>
      </c>
      <c r="E11" s="14"/>
      <c r="F11" s="16"/>
    </row>
    <row r="12" spans="1:9" ht="22.5" customHeight="1">
      <c r="A12" s="11">
        <v>11</v>
      </c>
      <c r="B12" s="39"/>
      <c r="C12" s="13" t="s">
        <v>44</v>
      </c>
      <c r="D12" s="13" t="s">
        <v>22</v>
      </c>
      <c r="E12" s="14"/>
      <c r="F12" s="16"/>
    </row>
    <row r="13" spans="1:9" ht="22.5" customHeight="1">
      <c r="A13" s="11">
        <v>12</v>
      </c>
      <c r="B13" s="41"/>
      <c r="C13" s="13" t="s">
        <v>6</v>
      </c>
      <c r="D13" s="13" t="s">
        <v>22</v>
      </c>
      <c r="E13" s="14">
        <v>60</v>
      </c>
      <c r="F13" s="42" t="s">
        <v>97</v>
      </c>
    </row>
    <row r="14" spans="1:9" ht="22.5" customHeight="1">
      <c r="A14" s="11">
        <v>13</v>
      </c>
      <c r="B14" s="12">
        <v>46207</v>
      </c>
      <c r="C14" s="13" t="s">
        <v>7</v>
      </c>
      <c r="D14" s="13" t="s">
        <v>22</v>
      </c>
      <c r="E14" s="14"/>
      <c r="F14" s="42"/>
    </row>
    <row r="15" spans="1:9" ht="22.5" customHeight="1">
      <c r="A15" s="11">
        <v>14</v>
      </c>
      <c r="B15" s="39"/>
      <c r="C15" s="13" t="s">
        <v>27</v>
      </c>
      <c r="D15" s="13" t="s">
        <v>22</v>
      </c>
      <c r="E15" s="14"/>
      <c r="F15" s="42"/>
    </row>
    <row r="16" spans="1:9" ht="22.5" customHeight="1">
      <c r="A16" s="11">
        <v>15</v>
      </c>
      <c r="B16" s="41"/>
      <c r="C16" s="13" t="s">
        <v>44</v>
      </c>
      <c r="D16" s="13" t="s">
        <v>22</v>
      </c>
      <c r="E16" s="14"/>
      <c r="F16" s="42"/>
    </row>
    <row r="17" spans="1:6" ht="22.5" customHeight="1">
      <c r="A17" s="11">
        <v>16</v>
      </c>
      <c r="B17" s="41"/>
      <c r="C17" s="13" t="s">
        <v>6</v>
      </c>
      <c r="D17" s="13" t="s">
        <v>22</v>
      </c>
      <c r="E17" s="14"/>
      <c r="F17" s="42"/>
    </row>
    <row r="18" spans="1:6" ht="22.5" customHeight="1">
      <c r="A18" s="11">
        <v>17</v>
      </c>
      <c r="B18" s="41">
        <v>46208</v>
      </c>
      <c r="C18" s="13" t="s">
        <v>7</v>
      </c>
      <c r="D18" s="13" t="s">
        <v>22</v>
      </c>
      <c r="E18" s="14"/>
      <c r="F18" s="42"/>
    </row>
    <row r="19" spans="1:6" ht="22.5" customHeight="1">
      <c r="A19" s="11">
        <v>18</v>
      </c>
      <c r="B19" s="40"/>
      <c r="C19" s="13" t="s">
        <v>27</v>
      </c>
      <c r="D19" s="13" t="s">
        <v>22</v>
      </c>
      <c r="E19" s="14"/>
      <c r="F19" s="42"/>
    </row>
    <row r="20" spans="1:6" ht="22.5" customHeight="1">
      <c r="A20" s="11">
        <v>19</v>
      </c>
      <c r="B20" s="40"/>
      <c r="C20" s="13" t="s">
        <v>44</v>
      </c>
      <c r="D20" s="13" t="s">
        <v>22</v>
      </c>
      <c r="E20" s="14"/>
      <c r="F20" s="42"/>
    </row>
    <row r="21" spans="1:6" ht="22.5" customHeight="1">
      <c r="A21" s="11">
        <v>20</v>
      </c>
      <c r="B21" s="40"/>
      <c r="C21" s="13" t="s">
        <v>6</v>
      </c>
      <c r="D21" s="13" t="s">
        <v>22</v>
      </c>
      <c r="E21" s="14"/>
      <c r="F21" s="42"/>
    </row>
    <row r="22" spans="1:6" ht="22.5" customHeight="1">
      <c r="A22" s="11">
        <v>21</v>
      </c>
      <c r="B22" s="12">
        <v>46209</v>
      </c>
      <c r="C22" s="13" t="s">
        <v>7</v>
      </c>
      <c r="D22" s="13" t="s">
        <v>22</v>
      </c>
      <c r="E22" s="14"/>
      <c r="F22" s="42"/>
    </row>
    <row r="23" spans="1:6" ht="22.5" customHeight="1">
      <c r="A23" s="11">
        <v>22</v>
      </c>
      <c r="B23" s="39"/>
      <c r="C23" s="13" t="s">
        <v>27</v>
      </c>
      <c r="D23" s="13" t="s">
        <v>22</v>
      </c>
      <c r="E23" s="14"/>
      <c r="F23" s="42"/>
    </row>
    <row r="24" spans="1:6" ht="22.5" customHeight="1">
      <c r="A24" s="11">
        <v>23</v>
      </c>
      <c r="B24" s="39"/>
      <c r="C24" s="13" t="s">
        <v>44</v>
      </c>
      <c r="D24" s="13" t="s">
        <v>22</v>
      </c>
      <c r="E24" s="14"/>
      <c r="F24" s="42"/>
    </row>
    <row r="25" spans="1:6" ht="22.5" customHeight="1">
      <c r="A25" s="11">
        <v>24</v>
      </c>
      <c r="B25" s="39"/>
      <c r="C25" s="13" t="s">
        <v>6</v>
      </c>
      <c r="D25" s="13" t="s">
        <v>22</v>
      </c>
      <c r="E25" s="14"/>
      <c r="F25" s="42"/>
    </row>
    <row r="26" spans="1:6" ht="22.5" customHeight="1">
      <c r="A26" s="11">
        <v>25</v>
      </c>
      <c r="B26" s="38">
        <v>46210</v>
      </c>
      <c r="C26" s="13" t="s">
        <v>7</v>
      </c>
      <c r="D26" s="13" t="s">
        <v>22</v>
      </c>
      <c r="E26" s="14"/>
      <c r="F26" s="42"/>
    </row>
    <row r="27" spans="1:6" ht="22.5" customHeight="1">
      <c r="A27" s="11">
        <v>26</v>
      </c>
      <c r="B27" s="39"/>
      <c r="C27" s="13" t="s">
        <v>27</v>
      </c>
      <c r="D27" s="13" t="s">
        <v>22</v>
      </c>
      <c r="E27" s="14"/>
      <c r="F27" s="42"/>
    </row>
    <row r="28" spans="1:6" ht="22.5" customHeight="1">
      <c r="A28" s="11">
        <v>27</v>
      </c>
      <c r="B28" s="39"/>
      <c r="C28" s="13" t="s">
        <v>44</v>
      </c>
      <c r="D28" s="13" t="s">
        <v>22</v>
      </c>
      <c r="E28" s="14"/>
      <c r="F28" s="42"/>
    </row>
    <row r="29" spans="1:6" ht="22.5" customHeight="1">
      <c r="A29" s="11">
        <v>28</v>
      </c>
      <c r="B29" s="40"/>
      <c r="C29" s="13" t="s">
        <v>6</v>
      </c>
      <c r="D29" s="13" t="s">
        <v>22</v>
      </c>
      <c r="E29" s="40"/>
      <c r="F29" s="42"/>
    </row>
    <row r="30" spans="1:6" ht="22.5" customHeight="1">
      <c r="A30" s="11">
        <v>29</v>
      </c>
      <c r="B30" s="40"/>
      <c r="C30" s="13" t="s">
        <v>8</v>
      </c>
      <c r="D30" s="13" t="s">
        <v>136</v>
      </c>
      <c r="E30" s="14">
        <v>1000</v>
      </c>
      <c r="F30" s="42" t="s">
        <v>138</v>
      </c>
    </row>
    <row r="31" spans="1:6" ht="22.5" customHeight="1">
      <c r="A31" s="11">
        <v>30</v>
      </c>
      <c r="B31" s="12">
        <v>46211</v>
      </c>
      <c r="C31" s="13" t="s">
        <v>7</v>
      </c>
      <c r="D31" s="13" t="s">
        <v>22</v>
      </c>
      <c r="E31" s="14"/>
      <c r="F31" s="42"/>
    </row>
    <row r="32" spans="1:6" ht="22.5" customHeight="1">
      <c r="A32" s="11">
        <v>31</v>
      </c>
      <c r="B32" s="39"/>
      <c r="C32" s="13" t="s">
        <v>27</v>
      </c>
      <c r="D32" s="13" t="s">
        <v>22</v>
      </c>
      <c r="E32" s="14"/>
      <c r="F32" s="42"/>
    </row>
    <row r="33" spans="1:12" ht="22.5" customHeight="1">
      <c r="A33" s="11">
        <v>32</v>
      </c>
      <c r="B33" s="41"/>
      <c r="C33" s="13" t="s">
        <v>44</v>
      </c>
      <c r="D33" s="13" t="s">
        <v>22</v>
      </c>
      <c r="E33" s="14"/>
      <c r="F33" s="42"/>
    </row>
    <row r="34" spans="1:12" ht="22.5" customHeight="1">
      <c r="A34" s="11">
        <v>33</v>
      </c>
      <c r="B34" s="40"/>
      <c r="C34" s="13" t="s">
        <v>6</v>
      </c>
      <c r="D34" s="13" t="s">
        <v>22</v>
      </c>
      <c r="E34" s="14"/>
      <c r="F34" s="42"/>
    </row>
    <row r="35" spans="1:12" ht="22.5" customHeight="1">
      <c r="A35" s="11">
        <v>34</v>
      </c>
      <c r="B35" s="38">
        <v>46212</v>
      </c>
      <c r="C35" s="13" t="s">
        <v>7</v>
      </c>
      <c r="D35" s="13" t="s">
        <v>22</v>
      </c>
      <c r="E35" s="14"/>
      <c r="F35" s="42"/>
    </row>
    <row r="36" spans="1:12" ht="22.5" customHeight="1">
      <c r="A36" s="11">
        <v>35</v>
      </c>
      <c r="B36" s="39"/>
      <c r="C36" s="13" t="s">
        <v>27</v>
      </c>
      <c r="D36" s="13" t="s">
        <v>22</v>
      </c>
      <c r="E36" s="14"/>
      <c r="F36" s="42"/>
    </row>
    <row r="37" spans="1:12" ht="22.5" customHeight="1">
      <c r="A37" s="11">
        <v>36</v>
      </c>
      <c r="B37" s="39"/>
      <c r="C37" s="13" t="s">
        <v>44</v>
      </c>
      <c r="D37" s="13" t="s">
        <v>22</v>
      </c>
      <c r="E37" s="14"/>
      <c r="F37" s="42"/>
    </row>
    <row r="38" spans="1:12" ht="22.5" customHeight="1">
      <c r="A38" s="11"/>
      <c r="B38" s="40"/>
      <c r="C38" s="13" t="s">
        <v>6</v>
      </c>
      <c r="D38" s="13" t="s">
        <v>22</v>
      </c>
      <c r="E38" s="14"/>
      <c r="F38" s="55"/>
      <c r="L38" s="6"/>
    </row>
    <row r="39" spans="1:12" ht="22.5" customHeight="1">
      <c r="A39" s="11"/>
      <c r="B39" s="38">
        <v>46213</v>
      </c>
      <c r="C39" s="56" t="s">
        <v>7</v>
      </c>
      <c r="D39" s="13" t="s">
        <v>22</v>
      </c>
      <c r="E39" s="14"/>
      <c r="F39" s="42"/>
    </row>
    <row r="40" spans="1:12" ht="22.5" customHeight="1">
      <c r="A40" s="11"/>
      <c r="B40" s="40"/>
      <c r="C40" s="56" t="s">
        <v>27</v>
      </c>
      <c r="D40" s="13" t="s">
        <v>22</v>
      </c>
      <c r="E40" s="14"/>
      <c r="F40" s="42"/>
      <c r="L40" s="6"/>
    </row>
    <row r="41" spans="1:12" ht="22.5" customHeight="1">
      <c r="A41" s="11"/>
      <c r="B41" s="40"/>
      <c r="C41" s="13" t="s">
        <v>44</v>
      </c>
      <c r="D41" s="13" t="s">
        <v>22</v>
      </c>
      <c r="E41" s="14"/>
      <c r="F41" s="42"/>
    </row>
    <row r="42" spans="1:12" ht="22.5" customHeight="1">
      <c r="A42" s="11"/>
      <c r="B42" s="40"/>
      <c r="C42" s="13" t="s">
        <v>6</v>
      </c>
      <c r="D42" s="13" t="s">
        <v>22</v>
      </c>
      <c r="E42" s="14"/>
      <c r="F42" s="42"/>
    </row>
    <row r="43" spans="1:12" ht="22.5" customHeight="1">
      <c r="A43" s="11"/>
      <c r="B43" s="40"/>
      <c r="C43" s="13" t="s">
        <v>8</v>
      </c>
      <c r="D43" s="13" t="s">
        <v>157</v>
      </c>
      <c r="E43" s="57">
        <v>1000</v>
      </c>
      <c r="F43" s="42" t="s">
        <v>138</v>
      </c>
    </row>
    <row r="44" spans="1:12" ht="14.4">
      <c r="A44" s="58"/>
      <c r="B44" s="56"/>
      <c r="C44" s="56"/>
      <c r="D44" s="13"/>
      <c r="E44" s="39"/>
      <c r="F44" s="42"/>
    </row>
    <row r="45" spans="1:12" ht="14.4">
      <c r="A45" s="58"/>
      <c r="B45" s="56"/>
      <c r="C45" s="13"/>
      <c r="D45" s="13"/>
      <c r="E45" s="39"/>
      <c r="F45" s="42"/>
    </row>
    <row r="46" spans="1:12" ht="14.4">
      <c r="A46" s="58"/>
      <c r="B46" s="56"/>
      <c r="C46" s="56"/>
      <c r="D46" s="13"/>
      <c r="E46" s="39"/>
      <c r="F46" s="42"/>
    </row>
    <row r="47" spans="1:12" ht="14.4">
      <c r="A47" s="59"/>
      <c r="B47" s="56"/>
      <c r="C47" s="56"/>
      <c r="D47" s="56"/>
      <c r="E47" s="40"/>
      <c r="F47" s="42"/>
    </row>
    <row r="48" spans="1:12" ht="14.4">
      <c r="A48" s="59"/>
      <c r="B48" s="56"/>
      <c r="C48" s="56"/>
      <c r="D48" s="56"/>
      <c r="E48" s="40"/>
      <c r="F48" s="42"/>
    </row>
    <row r="49" spans="1:6" ht="14.4">
      <c r="A49" s="59"/>
      <c r="B49" s="56"/>
      <c r="C49" s="56"/>
      <c r="D49" s="56"/>
      <c r="E49" s="40"/>
      <c r="F49" s="42"/>
    </row>
    <row r="50" spans="1:6" ht="14.4">
      <c r="A50" s="59"/>
      <c r="B50" s="56"/>
      <c r="C50" s="56"/>
      <c r="D50" s="56"/>
      <c r="E50" s="40"/>
      <c r="F50" s="42"/>
    </row>
    <row r="51" spans="1:6" ht="14.4">
      <c r="A51" s="59"/>
      <c r="B51" s="56"/>
      <c r="C51" s="56"/>
      <c r="D51" s="56"/>
      <c r="E51" s="40"/>
      <c r="F51" s="42"/>
    </row>
    <row r="52" spans="1:6" ht="14.4">
      <c r="A52" s="60"/>
      <c r="B52" s="56"/>
      <c r="C52" s="56"/>
      <c r="D52" s="56"/>
      <c r="E52" s="40"/>
      <c r="F52" s="42"/>
    </row>
    <row r="53" spans="1:6" ht="14.4">
      <c r="A53" s="59"/>
      <c r="B53" s="56"/>
      <c r="C53" s="13"/>
      <c r="D53" s="56"/>
      <c r="E53" s="40"/>
      <c r="F53" s="42"/>
    </row>
    <row r="54" spans="1:6" ht="14.4">
      <c r="A54" s="59"/>
      <c r="B54" s="56"/>
      <c r="C54" s="13"/>
      <c r="D54" s="56"/>
      <c r="E54" s="40"/>
      <c r="F54" s="42"/>
    </row>
    <row r="55" spans="1:6" ht="14.4">
      <c r="A55" s="59"/>
      <c r="B55" s="56"/>
      <c r="C55" s="13"/>
      <c r="D55" s="56"/>
      <c r="E55" s="40"/>
      <c r="F55" s="42"/>
    </row>
    <row r="56" spans="1:6" ht="14.4">
      <c r="A56" s="60"/>
      <c r="B56" s="56"/>
      <c r="C56" s="13"/>
      <c r="D56" s="56"/>
      <c r="E56" s="40"/>
      <c r="F56" s="42"/>
    </row>
    <row r="57" spans="1:6" ht="14.4">
      <c r="A57" s="59"/>
      <c r="B57" s="56"/>
      <c r="C57" s="13"/>
      <c r="D57" s="56"/>
      <c r="E57" s="40"/>
      <c r="F57" s="42"/>
    </row>
    <row r="58" spans="1:6" ht="14.4">
      <c r="A58" s="59"/>
      <c r="B58" s="56"/>
      <c r="C58" s="13"/>
      <c r="D58" s="56"/>
      <c r="E58" s="40"/>
      <c r="F58" s="42"/>
    </row>
    <row r="59" spans="1:6" ht="14.4">
      <c r="A59" s="59"/>
      <c r="B59" s="56"/>
      <c r="C59" s="13"/>
      <c r="D59" s="56"/>
      <c r="E59" s="40"/>
      <c r="F59" s="42"/>
    </row>
    <row r="60" spans="1:6" ht="14.4">
      <c r="A60" s="59"/>
      <c r="B60" s="56"/>
      <c r="C60" s="61"/>
      <c r="D60" s="56"/>
      <c r="E60" s="40"/>
      <c r="F60" s="42"/>
    </row>
    <row r="61" spans="1:6" ht="14.4">
      <c r="A61" s="60"/>
      <c r="B61" s="56"/>
      <c r="C61" s="56"/>
      <c r="D61" s="56"/>
      <c r="E61" s="40"/>
      <c r="F61" s="42"/>
    </row>
    <row r="62" spans="1:6" ht="14.4">
      <c r="A62" s="60"/>
      <c r="B62" s="13"/>
      <c r="C62" s="13"/>
      <c r="D62" s="56"/>
      <c r="E62" s="40"/>
      <c r="F62" s="42"/>
    </row>
    <row r="63" spans="1:6" ht="14.4">
      <c r="A63" s="59"/>
      <c r="B63" s="56"/>
      <c r="C63" s="13"/>
      <c r="D63" s="56"/>
      <c r="E63" s="40"/>
      <c r="F63" s="42"/>
    </row>
    <row r="64" spans="1:6" ht="14.4">
      <c r="A64" s="59"/>
      <c r="B64" s="56"/>
      <c r="C64" s="13"/>
      <c r="D64" s="56"/>
      <c r="E64" s="40"/>
      <c r="F64" s="42"/>
    </row>
    <row r="65" spans="1:6" ht="14.4">
      <c r="A65" s="59"/>
      <c r="B65" s="56"/>
      <c r="C65" s="56"/>
      <c r="D65" s="56"/>
      <c r="E65" s="40"/>
      <c r="F65" s="42"/>
    </row>
    <row r="66" spans="1:6" ht="14.4">
      <c r="A66" s="59"/>
      <c r="B66" s="56"/>
      <c r="C66" s="56"/>
      <c r="D66" s="56"/>
      <c r="E66" s="40"/>
      <c r="F66" s="42"/>
    </row>
    <row r="67" spans="1:6" ht="14.4">
      <c r="A67" s="59"/>
      <c r="B67" s="56"/>
      <c r="C67" s="56"/>
      <c r="D67" s="56"/>
      <c r="E67" s="40"/>
      <c r="F67" s="42"/>
    </row>
    <row r="68" spans="1:6" ht="14.4">
      <c r="A68" s="59"/>
      <c r="B68" s="56"/>
      <c r="C68" s="56"/>
      <c r="D68" s="56"/>
      <c r="E68" s="40"/>
      <c r="F68" s="42"/>
    </row>
    <row r="69" spans="1:6" ht="14.4">
      <c r="A69" s="59"/>
      <c r="B69" s="56"/>
      <c r="C69" s="56"/>
      <c r="D69" s="56"/>
      <c r="E69" s="40"/>
      <c r="F69" s="42"/>
    </row>
    <row r="70" spans="1:6" ht="14.4">
      <c r="A70" s="59"/>
      <c r="B70" s="56"/>
      <c r="C70" s="56"/>
      <c r="D70" s="56"/>
      <c r="E70" s="40"/>
      <c r="F70" s="42"/>
    </row>
    <row r="71" spans="1:6" ht="14.4">
      <c r="E71" s="17"/>
    </row>
    <row r="72" spans="1:6" ht="14.4">
      <c r="E72" s="17"/>
    </row>
    <row r="73" spans="1:6" ht="14.4">
      <c r="E73" s="17"/>
    </row>
    <row r="74" spans="1:6" ht="14.4">
      <c r="E74" s="17"/>
    </row>
    <row r="75" spans="1:6" ht="14.4">
      <c r="E75" s="17"/>
    </row>
    <row r="76" spans="1:6" ht="14.4">
      <c r="E76" s="17"/>
    </row>
    <row r="77" spans="1:6" ht="14.4">
      <c r="E77" s="17"/>
    </row>
    <row r="78" spans="1:6" ht="14.4">
      <c r="E78" s="17"/>
    </row>
    <row r="79" spans="1:6" ht="14.4">
      <c r="E79" s="17"/>
    </row>
    <row r="80" spans="1:6" ht="14.4">
      <c r="E80" s="17"/>
    </row>
    <row r="81" spans="5:5" ht="14.4">
      <c r="E81" s="17"/>
    </row>
    <row r="82" spans="5:5" ht="14.4">
      <c r="E82" s="17"/>
    </row>
    <row r="83" spans="5:5" ht="14.4">
      <c r="E83" s="17"/>
    </row>
    <row r="84" spans="5:5" ht="14.4">
      <c r="E84" s="17"/>
    </row>
    <row r="85" spans="5:5" ht="14.4">
      <c r="E85" s="17"/>
    </row>
    <row r="86" spans="5:5" ht="14.4">
      <c r="E86" s="17"/>
    </row>
    <row r="87" spans="5:5" ht="14.4">
      <c r="E87" s="17"/>
    </row>
    <row r="88" spans="5:5" ht="14.4">
      <c r="E88" s="17"/>
    </row>
    <row r="89" spans="5:5" ht="14.4">
      <c r="E89" s="17"/>
    </row>
    <row r="90" spans="5:5" ht="14.4">
      <c r="E90" s="17"/>
    </row>
    <row r="91" spans="5:5" ht="14.4">
      <c r="E91" s="17"/>
    </row>
    <row r="92" spans="5:5" ht="14.4">
      <c r="E92" s="17"/>
    </row>
    <row r="93" spans="5:5" ht="14.4">
      <c r="E93" s="17"/>
    </row>
    <row r="94" spans="5:5" ht="14.4">
      <c r="E94" s="17"/>
    </row>
    <row r="95" spans="5:5" ht="14.4">
      <c r="E95" s="17"/>
    </row>
    <row r="96" spans="5:5" ht="14.4">
      <c r="E96" s="17"/>
    </row>
    <row r="97" spans="5:5" ht="14.4">
      <c r="E97" s="17"/>
    </row>
    <row r="98" spans="5:5" ht="14.4">
      <c r="E98" s="17"/>
    </row>
    <row r="99" spans="5:5" ht="14.4">
      <c r="E99" s="17"/>
    </row>
    <row r="100" spans="5:5" ht="14.4">
      <c r="E100" s="17"/>
    </row>
    <row r="101" spans="5:5" ht="14.4">
      <c r="E101" s="17"/>
    </row>
    <row r="102" spans="5:5" ht="14.4">
      <c r="E102" s="17"/>
    </row>
    <row r="103" spans="5:5" ht="14.4">
      <c r="E103" s="17"/>
    </row>
    <row r="104" spans="5:5" ht="14.4">
      <c r="E104" s="17"/>
    </row>
    <row r="105" spans="5:5" ht="14.4">
      <c r="E105" s="17"/>
    </row>
    <row r="106" spans="5:5" ht="14.4">
      <c r="E106" s="17"/>
    </row>
    <row r="107" spans="5:5" ht="14.4">
      <c r="E107" s="17"/>
    </row>
    <row r="108" spans="5:5" ht="14.4">
      <c r="E108" s="17"/>
    </row>
    <row r="109" spans="5:5" ht="14.4">
      <c r="E109" s="17"/>
    </row>
    <row r="110" spans="5:5" ht="14.4">
      <c r="E110" s="17"/>
    </row>
    <row r="111" spans="5:5" ht="14.4">
      <c r="E111" s="17"/>
    </row>
    <row r="112" spans="5:5" ht="14.4">
      <c r="E112" s="17"/>
    </row>
    <row r="113" spans="5:5" ht="14.4">
      <c r="E113" s="17"/>
    </row>
    <row r="114" spans="5:5" ht="14.4">
      <c r="E114" s="17"/>
    </row>
    <row r="115" spans="5:5" ht="14.4">
      <c r="E115" s="17"/>
    </row>
    <row r="116" spans="5:5" ht="14.4">
      <c r="E116" s="17"/>
    </row>
    <row r="117" spans="5:5" ht="14.4">
      <c r="E117" s="17"/>
    </row>
    <row r="118" spans="5:5" ht="14.4">
      <c r="E118" s="17"/>
    </row>
    <row r="119" spans="5:5" ht="14.4">
      <c r="E119" s="17"/>
    </row>
    <row r="120" spans="5:5" ht="14.4">
      <c r="E120" s="17"/>
    </row>
    <row r="121" spans="5:5" ht="14.4">
      <c r="E121" s="17"/>
    </row>
    <row r="122" spans="5:5" ht="14.4">
      <c r="E122" s="17"/>
    </row>
    <row r="123" spans="5:5" ht="14.4">
      <c r="E123" s="17"/>
    </row>
    <row r="124" spans="5:5" ht="14.4">
      <c r="E124" s="17"/>
    </row>
    <row r="125" spans="5:5" ht="14.4">
      <c r="E125" s="17"/>
    </row>
    <row r="126" spans="5:5" ht="14.4">
      <c r="E126" s="17"/>
    </row>
    <row r="127" spans="5:5" ht="14.4">
      <c r="E127" s="17"/>
    </row>
    <row r="128" spans="5:5" ht="14.4">
      <c r="E128" s="17"/>
    </row>
    <row r="129" spans="5:5" ht="14.4">
      <c r="E129" s="17"/>
    </row>
    <row r="130" spans="5:5" ht="14.4">
      <c r="E130" s="17"/>
    </row>
    <row r="131" spans="5:5" ht="14.4">
      <c r="E131" s="17"/>
    </row>
    <row r="132" spans="5:5" ht="14.4">
      <c r="E132" s="17"/>
    </row>
    <row r="133" spans="5:5" ht="14.4">
      <c r="E133" s="17"/>
    </row>
    <row r="134" spans="5:5" ht="14.4">
      <c r="E134" s="17"/>
    </row>
    <row r="135" spans="5:5" ht="14.4">
      <c r="E135" s="17"/>
    </row>
    <row r="136" spans="5:5" ht="14.4">
      <c r="E136" s="17"/>
    </row>
    <row r="137" spans="5:5" ht="14.4">
      <c r="E137" s="17"/>
    </row>
    <row r="138" spans="5:5" ht="14.4">
      <c r="E138" s="17"/>
    </row>
    <row r="139" spans="5:5" ht="14.4">
      <c r="E139" s="17"/>
    </row>
    <row r="140" spans="5:5" ht="14.4">
      <c r="E140" s="17"/>
    </row>
    <row r="141" spans="5:5" ht="14.4">
      <c r="E141" s="17"/>
    </row>
    <row r="142" spans="5:5" ht="14.4">
      <c r="E142" s="17"/>
    </row>
    <row r="143" spans="5:5" ht="14.4">
      <c r="E143" s="17"/>
    </row>
    <row r="144" spans="5:5" ht="14.4">
      <c r="E144" s="17"/>
    </row>
    <row r="145" spans="5:5" ht="14.4">
      <c r="E145" s="17"/>
    </row>
    <row r="146" spans="5:5" ht="14.4">
      <c r="E146" s="17"/>
    </row>
    <row r="147" spans="5:5" ht="14.4">
      <c r="E147" s="17"/>
    </row>
    <row r="148" spans="5:5" ht="14.4">
      <c r="E148" s="17"/>
    </row>
    <row r="149" spans="5:5" ht="14.4">
      <c r="E149" s="17"/>
    </row>
    <row r="150" spans="5:5" ht="14.4">
      <c r="E150" s="17"/>
    </row>
    <row r="151" spans="5:5" ht="14.4">
      <c r="E151" s="17"/>
    </row>
    <row r="152" spans="5:5" ht="14.4">
      <c r="E152" s="17"/>
    </row>
    <row r="153" spans="5:5" ht="14.4">
      <c r="E153" s="17"/>
    </row>
    <row r="154" spans="5:5" ht="14.4">
      <c r="E154" s="17"/>
    </row>
    <row r="155" spans="5:5" ht="14.4">
      <c r="E155" s="17"/>
    </row>
    <row r="156" spans="5:5" ht="14.4">
      <c r="E156" s="17"/>
    </row>
    <row r="157" spans="5:5" ht="14.4">
      <c r="E157" s="17"/>
    </row>
    <row r="158" spans="5:5" ht="14.4">
      <c r="E158" s="17"/>
    </row>
    <row r="159" spans="5:5" ht="14.4">
      <c r="E159" s="17"/>
    </row>
    <row r="160" spans="5:5" ht="14.4">
      <c r="E160" s="17"/>
    </row>
    <row r="161" spans="5:5" ht="14.4">
      <c r="E161" s="17"/>
    </row>
    <row r="162" spans="5:5" ht="14.4">
      <c r="E162" s="17"/>
    </row>
    <row r="163" spans="5:5" ht="14.4">
      <c r="E163" s="17"/>
    </row>
    <row r="164" spans="5:5" ht="14.4">
      <c r="E164" s="17"/>
    </row>
    <row r="165" spans="5:5" ht="14.4">
      <c r="E165" s="17"/>
    </row>
    <row r="166" spans="5:5" ht="14.4">
      <c r="E166" s="17"/>
    </row>
    <row r="167" spans="5:5" ht="14.4">
      <c r="E167" s="17"/>
    </row>
    <row r="168" spans="5:5" ht="14.4">
      <c r="E168" s="17"/>
    </row>
    <row r="169" spans="5:5" ht="14.4">
      <c r="E169" s="17"/>
    </row>
    <row r="170" spans="5:5" ht="14.4">
      <c r="E170" s="17"/>
    </row>
    <row r="171" spans="5:5" ht="14.4">
      <c r="E171" s="17"/>
    </row>
    <row r="172" spans="5:5" ht="14.4">
      <c r="E172" s="17"/>
    </row>
    <row r="173" spans="5:5" ht="14.4">
      <c r="E173" s="17"/>
    </row>
    <row r="174" spans="5:5" ht="14.4">
      <c r="E174" s="17"/>
    </row>
    <row r="175" spans="5:5" ht="14.4">
      <c r="E175" s="17"/>
    </row>
    <row r="176" spans="5:5" ht="14.4">
      <c r="E176" s="17"/>
    </row>
    <row r="177" spans="5:5" ht="14.4">
      <c r="E177" s="17"/>
    </row>
    <row r="178" spans="5:5" ht="14.4">
      <c r="E178" s="17"/>
    </row>
    <row r="179" spans="5:5" ht="14.4">
      <c r="E179" s="17"/>
    </row>
    <row r="180" spans="5:5" ht="14.4">
      <c r="E180" s="17"/>
    </row>
    <row r="181" spans="5:5" ht="14.4">
      <c r="E181" s="17"/>
    </row>
    <row r="182" spans="5:5" ht="14.4">
      <c r="E182" s="17"/>
    </row>
    <row r="183" spans="5:5" ht="14.4">
      <c r="E183" s="17"/>
    </row>
    <row r="184" spans="5:5" ht="14.4">
      <c r="E184" s="17"/>
    </row>
    <row r="185" spans="5:5" ht="14.4">
      <c r="E185" s="17"/>
    </row>
    <row r="186" spans="5:5" ht="14.4">
      <c r="E186" s="17"/>
    </row>
    <row r="187" spans="5:5" ht="14.4">
      <c r="E187" s="17"/>
    </row>
    <row r="188" spans="5:5" ht="14.4">
      <c r="E188" s="17"/>
    </row>
    <row r="189" spans="5:5" ht="14.4">
      <c r="E189" s="17"/>
    </row>
    <row r="190" spans="5:5" ht="14.4">
      <c r="E190" s="17"/>
    </row>
    <row r="191" spans="5:5" ht="14.4">
      <c r="E191" s="17"/>
    </row>
    <row r="192" spans="5:5" ht="14.4">
      <c r="E192" s="17"/>
    </row>
    <row r="193" spans="5:5" ht="14.4">
      <c r="E193" s="17"/>
    </row>
    <row r="194" spans="5:5" ht="14.4">
      <c r="E194" s="17"/>
    </row>
    <row r="195" spans="5:5" ht="14.4">
      <c r="E195" s="17"/>
    </row>
    <row r="196" spans="5:5" ht="14.4">
      <c r="E196" s="17"/>
    </row>
    <row r="197" spans="5:5" ht="14.4">
      <c r="E197" s="17"/>
    </row>
    <row r="198" spans="5:5" ht="14.4">
      <c r="E198" s="17"/>
    </row>
    <row r="199" spans="5:5" ht="14.4">
      <c r="E199" s="17"/>
    </row>
    <row r="200" spans="5:5" ht="14.4">
      <c r="E200" s="17"/>
    </row>
    <row r="201" spans="5:5" ht="14.4">
      <c r="E201" s="17"/>
    </row>
    <row r="202" spans="5:5" ht="14.4">
      <c r="E202" s="17"/>
    </row>
    <row r="203" spans="5:5" ht="14.4">
      <c r="E203" s="17"/>
    </row>
    <row r="204" spans="5:5" ht="14.4">
      <c r="E204" s="17"/>
    </row>
    <row r="205" spans="5:5" ht="14.4">
      <c r="E205" s="17"/>
    </row>
    <row r="206" spans="5:5" ht="14.4">
      <c r="E206" s="17"/>
    </row>
    <row r="207" spans="5:5" ht="14.4">
      <c r="E207" s="17"/>
    </row>
    <row r="208" spans="5:5" ht="14.4">
      <c r="E208" s="17"/>
    </row>
    <row r="209" spans="5:5" ht="14.4">
      <c r="E209" s="17"/>
    </row>
    <row r="210" spans="5:5" ht="14.4">
      <c r="E210" s="17"/>
    </row>
    <row r="211" spans="5:5" ht="14.4">
      <c r="E211" s="17"/>
    </row>
    <row r="212" spans="5:5" ht="14.4">
      <c r="E212" s="17"/>
    </row>
    <row r="213" spans="5:5" ht="14.4">
      <c r="E213" s="17"/>
    </row>
    <row r="214" spans="5:5" ht="14.4">
      <c r="E214" s="17"/>
    </row>
    <row r="215" spans="5:5" ht="14.4">
      <c r="E215" s="17"/>
    </row>
    <row r="216" spans="5:5" ht="14.4">
      <c r="E216" s="17"/>
    </row>
    <row r="217" spans="5:5" ht="14.4">
      <c r="E217" s="17"/>
    </row>
    <row r="218" spans="5:5" ht="14.4">
      <c r="E218" s="17"/>
    </row>
    <row r="219" spans="5:5" ht="14.4">
      <c r="E219" s="17"/>
    </row>
    <row r="220" spans="5:5" ht="14.4">
      <c r="E220" s="17"/>
    </row>
    <row r="221" spans="5:5" ht="14.4">
      <c r="E221" s="17"/>
    </row>
    <row r="222" spans="5:5" ht="14.4">
      <c r="E222" s="17"/>
    </row>
    <row r="223" spans="5:5" ht="14.4">
      <c r="E223" s="17"/>
    </row>
    <row r="224" spans="5:5" ht="14.4">
      <c r="E224" s="17"/>
    </row>
    <row r="225" spans="5:5" ht="14.4">
      <c r="E225" s="17"/>
    </row>
    <row r="226" spans="5:5" ht="14.4">
      <c r="E226" s="17"/>
    </row>
    <row r="227" spans="5:5" ht="14.4">
      <c r="E227" s="17"/>
    </row>
    <row r="228" spans="5:5" ht="14.4">
      <c r="E228" s="17"/>
    </row>
    <row r="229" spans="5:5" ht="14.4">
      <c r="E229" s="17"/>
    </row>
    <row r="230" spans="5:5" ht="14.4">
      <c r="E230" s="17"/>
    </row>
    <row r="231" spans="5:5" ht="14.4">
      <c r="E231" s="17"/>
    </row>
    <row r="232" spans="5:5" ht="14.4">
      <c r="E232" s="17"/>
    </row>
    <row r="233" spans="5:5" ht="14.4">
      <c r="E233" s="17"/>
    </row>
    <row r="234" spans="5:5" ht="14.4">
      <c r="E234" s="17"/>
    </row>
    <row r="235" spans="5:5" ht="14.4">
      <c r="E235" s="17"/>
    </row>
    <row r="236" spans="5:5" ht="14.4">
      <c r="E236" s="17"/>
    </row>
    <row r="237" spans="5:5" ht="14.4">
      <c r="E237" s="17"/>
    </row>
    <row r="238" spans="5:5" ht="14.4">
      <c r="E238" s="17"/>
    </row>
    <row r="239" spans="5:5" ht="14.4">
      <c r="E239" s="17"/>
    </row>
    <row r="240" spans="5:5" ht="14.4">
      <c r="E240" s="17"/>
    </row>
    <row r="241" spans="5:5" ht="14.4">
      <c r="E241" s="17"/>
    </row>
    <row r="242" spans="5:5" ht="14.4">
      <c r="E242" s="17"/>
    </row>
    <row r="243" spans="5:5" ht="14.4">
      <c r="E243" s="17"/>
    </row>
    <row r="244" spans="5:5" ht="14.4">
      <c r="E244" s="17"/>
    </row>
    <row r="245" spans="5:5" ht="14.4">
      <c r="E245" s="17"/>
    </row>
    <row r="246" spans="5:5" ht="14.4">
      <c r="E246" s="17"/>
    </row>
    <row r="247" spans="5:5" ht="14.4">
      <c r="E247" s="17"/>
    </row>
    <row r="248" spans="5:5" ht="14.4">
      <c r="E248" s="17"/>
    </row>
    <row r="249" spans="5:5" ht="14.4">
      <c r="E249" s="17"/>
    </row>
    <row r="250" spans="5:5" ht="14.4">
      <c r="E250" s="17"/>
    </row>
    <row r="251" spans="5:5" ht="14.4">
      <c r="E251" s="17"/>
    </row>
    <row r="252" spans="5:5" ht="14.4">
      <c r="E252" s="17"/>
    </row>
    <row r="253" spans="5:5" ht="14.4">
      <c r="E253" s="17"/>
    </row>
    <row r="254" spans="5:5" ht="14.4">
      <c r="E254" s="17"/>
    </row>
    <row r="255" spans="5:5" ht="14.4">
      <c r="E255" s="17"/>
    </row>
    <row r="256" spans="5:5" ht="14.4">
      <c r="E256" s="17"/>
    </row>
    <row r="257" spans="5:5" ht="14.4">
      <c r="E257" s="17"/>
    </row>
    <row r="258" spans="5:5" ht="14.4">
      <c r="E258" s="17"/>
    </row>
    <row r="259" spans="5:5" ht="14.4">
      <c r="E259" s="17"/>
    </row>
    <row r="260" spans="5:5" ht="14.4">
      <c r="E260" s="17"/>
    </row>
    <row r="261" spans="5:5" ht="14.4">
      <c r="E261" s="17"/>
    </row>
    <row r="262" spans="5:5" ht="14.4">
      <c r="E262" s="17"/>
    </row>
    <row r="263" spans="5:5" ht="14.4">
      <c r="E263" s="17"/>
    </row>
    <row r="264" spans="5:5" ht="14.4">
      <c r="E264" s="17"/>
    </row>
    <row r="265" spans="5:5" ht="14.4">
      <c r="E265" s="17"/>
    </row>
    <row r="266" spans="5:5" ht="14.4">
      <c r="E266" s="17"/>
    </row>
    <row r="267" spans="5:5" ht="14.4">
      <c r="E267" s="17"/>
    </row>
    <row r="268" spans="5:5" ht="14.4">
      <c r="E268" s="17"/>
    </row>
    <row r="269" spans="5:5" ht="14.4">
      <c r="E269" s="17"/>
    </row>
    <row r="270" spans="5:5" ht="14.4">
      <c r="E270" s="17"/>
    </row>
    <row r="271" spans="5:5" ht="14.4">
      <c r="E271" s="17"/>
    </row>
    <row r="272" spans="5:5" ht="14.4">
      <c r="E272" s="17"/>
    </row>
    <row r="273" spans="5:5" ht="14.4">
      <c r="E273" s="17"/>
    </row>
    <row r="274" spans="5:5" ht="14.4">
      <c r="E274" s="17"/>
    </row>
    <row r="275" spans="5:5" ht="14.4">
      <c r="E275" s="17"/>
    </row>
    <row r="276" spans="5:5" ht="14.4">
      <c r="E276" s="17"/>
    </row>
    <row r="277" spans="5:5" ht="14.4">
      <c r="E277" s="17"/>
    </row>
    <row r="278" spans="5:5" ht="14.4">
      <c r="E278" s="17"/>
    </row>
    <row r="279" spans="5:5" ht="14.4">
      <c r="E279" s="17"/>
    </row>
    <row r="280" spans="5:5" ht="14.4">
      <c r="E280" s="17"/>
    </row>
    <row r="281" spans="5:5" ht="14.4">
      <c r="E281" s="17"/>
    </row>
    <row r="282" spans="5:5" ht="14.4">
      <c r="E282" s="17"/>
    </row>
    <row r="283" spans="5:5" ht="14.4">
      <c r="E283" s="17"/>
    </row>
    <row r="284" spans="5:5" ht="14.4">
      <c r="E284" s="17"/>
    </row>
    <row r="285" spans="5:5" ht="14.4">
      <c r="E285" s="17"/>
    </row>
    <row r="286" spans="5:5" ht="14.4">
      <c r="E286" s="17"/>
    </row>
    <row r="287" spans="5:5" ht="14.4">
      <c r="E287" s="17"/>
    </row>
    <row r="288" spans="5:5" ht="14.4">
      <c r="E288" s="17"/>
    </row>
    <row r="289" spans="5:5" ht="14.4">
      <c r="E289" s="17"/>
    </row>
    <row r="290" spans="5:5" ht="14.4">
      <c r="E290" s="17"/>
    </row>
    <row r="291" spans="5:5" ht="14.4">
      <c r="E291" s="17"/>
    </row>
    <row r="292" spans="5:5" ht="14.4">
      <c r="E292" s="17"/>
    </row>
    <row r="293" spans="5:5" ht="14.4">
      <c r="E293" s="17"/>
    </row>
    <row r="294" spans="5:5" ht="14.4">
      <c r="E294" s="17"/>
    </row>
    <row r="295" spans="5:5" ht="14.4">
      <c r="E295" s="17"/>
    </row>
    <row r="296" spans="5:5" ht="14.4">
      <c r="E296" s="17"/>
    </row>
    <row r="297" spans="5:5" ht="14.4">
      <c r="E297" s="17"/>
    </row>
    <row r="298" spans="5:5" ht="14.4">
      <c r="E298" s="17"/>
    </row>
    <row r="299" spans="5:5" ht="14.4">
      <c r="E299" s="17"/>
    </row>
    <row r="300" spans="5:5" ht="14.4">
      <c r="E300" s="17"/>
    </row>
    <row r="301" spans="5:5" ht="14.4">
      <c r="E301" s="17"/>
    </row>
    <row r="302" spans="5:5" ht="14.4">
      <c r="E302" s="17"/>
    </row>
    <row r="303" spans="5:5" ht="14.4">
      <c r="E303" s="17"/>
    </row>
    <row r="304" spans="5:5" ht="14.4">
      <c r="E304" s="17"/>
    </row>
    <row r="305" spans="5:5" ht="14.4">
      <c r="E305" s="17"/>
    </row>
    <row r="306" spans="5:5" ht="14.4">
      <c r="E306" s="17"/>
    </row>
    <row r="307" spans="5:5" ht="14.4">
      <c r="E307" s="17"/>
    </row>
    <row r="308" spans="5:5" ht="14.4">
      <c r="E308" s="17"/>
    </row>
    <row r="309" spans="5:5" ht="14.4">
      <c r="E309" s="17"/>
    </row>
    <row r="310" spans="5:5" ht="14.4">
      <c r="E310" s="17"/>
    </row>
    <row r="311" spans="5:5" ht="14.4">
      <c r="E311" s="17"/>
    </row>
    <row r="312" spans="5:5" ht="14.4">
      <c r="E312" s="17"/>
    </row>
    <row r="313" spans="5:5" ht="14.4">
      <c r="E313" s="17"/>
    </row>
    <row r="314" spans="5:5" ht="14.4">
      <c r="E314" s="17"/>
    </row>
    <row r="315" spans="5:5" ht="14.4">
      <c r="E315" s="17"/>
    </row>
    <row r="316" spans="5:5" ht="14.4">
      <c r="E316" s="17"/>
    </row>
    <row r="317" spans="5:5" ht="14.4">
      <c r="E317" s="17"/>
    </row>
    <row r="318" spans="5:5" ht="14.4">
      <c r="E318" s="17"/>
    </row>
    <row r="319" spans="5:5" ht="14.4">
      <c r="E319" s="17"/>
    </row>
    <row r="320" spans="5:5" ht="14.4">
      <c r="E320" s="17"/>
    </row>
    <row r="321" spans="5:5" ht="14.4">
      <c r="E321" s="17"/>
    </row>
    <row r="322" spans="5:5" ht="14.4">
      <c r="E322" s="17"/>
    </row>
    <row r="323" spans="5:5" ht="14.4">
      <c r="E323" s="17"/>
    </row>
    <row r="324" spans="5:5" ht="14.4">
      <c r="E324" s="17"/>
    </row>
    <row r="325" spans="5:5" ht="14.4">
      <c r="E325" s="17"/>
    </row>
    <row r="326" spans="5:5" ht="14.4">
      <c r="E326" s="17"/>
    </row>
    <row r="327" spans="5:5" ht="14.4">
      <c r="E327" s="17"/>
    </row>
    <row r="328" spans="5:5" ht="14.4">
      <c r="E328" s="17"/>
    </row>
    <row r="329" spans="5:5" ht="14.4">
      <c r="E329" s="17"/>
    </row>
    <row r="330" spans="5:5" ht="14.4">
      <c r="E330" s="17"/>
    </row>
    <row r="331" spans="5:5" ht="14.4">
      <c r="E331" s="17"/>
    </row>
    <row r="332" spans="5:5" ht="14.4">
      <c r="E332" s="17"/>
    </row>
    <row r="333" spans="5:5" ht="14.4">
      <c r="E333" s="17"/>
    </row>
    <row r="334" spans="5:5" ht="14.4">
      <c r="E334" s="17"/>
    </row>
    <row r="335" spans="5:5" ht="14.4">
      <c r="E335" s="17"/>
    </row>
    <row r="336" spans="5:5" ht="14.4">
      <c r="E336" s="17"/>
    </row>
    <row r="337" spans="5:5" ht="14.4">
      <c r="E337" s="17"/>
    </row>
    <row r="338" spans="5:5" ht="14.4">
      <c r="E338" s="17"/>
    </row>
    <row r="339" spans="5:5" ht="14.4">
      <c r="E339" s="17"/>
    </row>
    <row r="340" spans="5:5" ht="14.4">
      <c r="E340" s="17"/>
    </row>
    <row r="341" spans="5:5" ht="14.4">
      <c r="E341" s="17"/>
    </row>
    <row r="342" spans="5:5" ht="14.4">
      <c r="E342" s="17"/>
    </row>
    <row r="343" spans="5:5" ht="14.4">
      <c r="E343" s="17"/>
    </row>
    <row r="344" spans="5:5" ht="14.4">
      <c r="E344" s="17"/>
    </row>
    <row r="345" spans="5:5" ht="14.4">
      <c r="E345" s="17"/>
    </row>
    <row r="346" spans="5:5" ht="14.4">
      <c r="E346" s="17"/>
    </row>
    <row r="347" spans="5:5" ht="14.4">
      <c r="E347" s="17"/>
    </row>
    <row r="348" spans="5:5" ht="14.4">
      <c r="E348" s="17"/>
    </row>
    <row r="349" spans="5:5" ht="14.4">
      <c r="E349" s="17"/>
    </row>
    <row r="350" spans="5:5" ht="14.4">
      <c r="E350" s="17"/>
    </row>
    <row r="351" spans="5:5" ht="14.4">
      <c r="E351" s="17"/>
    </row>
    <row r="352" spans="5:5" ht="14.4">
      <c r="E352" s="17"/>
    </row>
    <row r="353" spans="5:5" ht="14.4">
      <c r="E353" s="17"/>
    </row>
    <row r="354" spans="5:5" ht="14.4">
      <c r="E354" s="17"/>
    </row>
    <row r="355" spans="5:5" ht="14.4">
      <c r="E355" s="17"/>
    </row>
    <row r="356" spans="5:5" ht="14.4">
      <c r="E356" s="17"/>
    </row>
    <row r="357" spans="5:5" ht="14.4">
      <c r="E357" s="17"/>
    </row>
    <row r="358" spans="5:5" ht="14.4">
      <c r="E358" s="17"/>
    </row>
    <row r="359" spans="5:5" ht="14.4">
      <c r="E359" s="17"/>
    </row>
    <row r="360" spans="5:5" ht="14.4">
      <c r="E360" s="17"/>
    </row>
    <row r="361" spans="5:5" ht="14.4">
      <c r="E361" s="17"/>
    </row>
    <row r="362" spans="5:5" ht="14.4">
      <c r="E362" s="17"/>
    </row>
    <row r="363" spans="5:5" ht="14.4">
      <c r="E363" s="17"/>
    </row>
    <row r="364" spans="5:5" ht="14.4">
      <c r="E364" s="17"/>
    </row>
    <row r="365" spans="5:5" ht="14.4">
      <c r="E365" s="17"/>
    </row>
    <row r="366" spans="5:5" ht="14.4">
      <c r="E366" s="17"/>
    </row>
    <row r="367" spans="5:5" ht="14.4">
      <c r="E367" s="17"/>
    </row>
    <row r="368" spans="5:5" ht="14.4">
      <c r="E368" s="17"/>
    </row>
    <row r="369" spans="5:5" ht="14.4">
      <c r="E369" s="17"/>
    </row>
    <row r="370" spans="5:5" ht="14.4">
      <c r="E370" s="17"/>
    </row>
    <row r="371" spans="5:5" ht="14.4">
      <c r="E371" s="17"/>
    </row>
    <row r="372" spans="5:5" ht="14.4">
      <c r="E372" s="17"/>
    </row>
    <row r="373" spans="5:5" ht="14.4">
      <c r="E373" s="17"/>
    </row>
    <row r="374" spans="5:5" ht="14.4">
      <c r="E374" s="17"/>
    </row>
    <row r="375" spans="5:5" ht="14.4">
      <c r="E375" s="17"/>
    </row>
    <row r="376" spans="5:5" ht="14.4">
      <c r="E376" s="17"/>
    </row>
    <row r="377" spans="5:5" ht="14.4">
      <c r="E377" s="17"/>
    </row>
    <row r="378" spans="5:5" ht="14.4">
      <c r="E378" s="17"/>
    </row>
    <row r="379" spans="5:5" ht="14.4">
      <c r="E379" s="17"/>
    </row>
    <row r="380" spans="5:5" ht="14.4">
      <c r="E380" s="17"/>
    </row>
    <row r="381" spans="5:5" ht="14.4">
      <c r="E381" s="17"/>
    </row>
    <row r="382" spans="5:5" ht="14.4">
      <c r="E382" s="17"/>
    </row>
    <row r="383" spans="5:5" ht="14.4">
      <c r="E383" s="17"/>
    </row>
    <row r="384" spans="5:5" ht="14.4">
      <c r="E384" s="17"/>
    </row>
    <row r="385" spans="5:5" ht="14.4">
      <c r="E385" s="17"/>
    </row>
    <row r="386" spans="5:5" ht="14.4">
      <c r="E386" s="17"/>
    </row>
    <row r="387" spans="5:5" ht="14.4">
      <c r="E387" s="17"/>
    </row>
    <row r="388" spans="5:5" ht="14.4">
      <c r="E388" s="17"/>
    </row>
    <row r="389" spans="5:5" ht="14.4">
      <c r="E389" s="17"/>
    </row>
    <row r="390" spans="5:5" ht="14.4">
      <c r="E390" s="17"/>
    </row>
    <row r="391" spans="5:5" ht="14.4">
      <c r="E391" s="17"/>
    </row>
    <row r="392" spans="5:5" ht="14.4">
      <c r="E392" s="17"/>
    </row>
    <row r="393" spans="5:5" ht="14.4">
      <c r="E393" s="17"/>
    </row>
    <row r="394" spans="5:5" ht="14.4">
      <c r="E394" s="17"/>
    </row>
    <row r="395" spans="5:5" ht="14.4">
      <c r="E395" s="17"/>
    </row>
    <row r="396" spans="5:5" ht="14.4">
      <c r="E396" s="17"/>
    </row>
    <row r="397" spans="5:5" ht="14.4">
      <c r="E397" s="17"/>
    </row>
    <row r="398" spans="5:5" ht="14.4">
      <c r="E398" s="17"/>
    </row>
    <row r="399" spans="5:5" ht="14.4">
      <c r="E399" s="17"/>
    </row>
    <row r="400" spans="5:5" ht="14.4">
      <c r="E400" s="17"/>
    </row>
    <row r="401" spans="5:5" ht="14.4">
      <c r="E401" s="17"/>
    </row>
    <row r="402" spans="5:5" ht="14.4">
      <c r="E402" s="17"/>
    </row>
    <row r="403" spans="5:5" ht="14.4">
      <c r="E403" s="17"/>
    </row>
    <row r="404" spans="5:5" ht="14.4">
      <c r="E404" s="17"/>
    </row>
    <row r="405" spans="5:5" ht="14.4">
      <c r="E405" s="17"/>
    </row>
    <row r="406" spans="5:5" ht="14.4">
      <c r="E406" s="17"/>
    </row>
    <row r="407" spans="5:5" ht="14.4">
      <c r="E407" s="17"/>
    </row>
    <row r="408" spans="5:5" ht="14.4">
      <c r="E408" s="17"/>
    </row>
    <row r="409" spans="5:5" ht="14.4">
      <c r="E409" s="17"/>
    </row>
    <row r="410" spans="5:5" ht="14.4">
      <c r="E410" s="17"/>
    </row>
    <row r="411" spans="5:5" ht="14.4">
      <c r="E411" s="17"/>
    </row>
    <row r="412" spans="5:5" ht="14.4">
      <c r="E412" s="17"/>
    </row>
    <row r="413" spans="5:5" ht="14.4">
      <c r="E413" s="17"/>
    </row>
    <row r="414" spans="5:5" ht="14.4">
      <c r="E414" s="17"/>
    </row>
    <row r="415" spans="5:5" ht="14.4">
      <c r="E415" s="17"/>
    </row>
    <row r="416" spans="5:5" ht="14.4">
      <c r="E416" s="17"/>
    </row>
    <row r="417" spans="5:5" ht="14.4">
      <c r="E417" s="17"/>
    </row>
    <row r="418" spans="5:5" ht="14.4">
      <c r="E418" s="17"/>
    </row>
    <row r="419" spans="5:5" ht="14.4">
      <c r="E419" s="17"/>
    </row>
    <row r="420" spans="5:5" ht="14.4">
      <c r="E420" s="17"/>
    </row>
    <row r="421" spans="5:5" ht="14.4">
      <c r="E421" s="17"/>
    </row>
    <row r="422" spans="5:5" ht="14.4">
      <c r="E422" s="17"/>
    </row>
    <row r="423" spans="5:5" ht="14.4">
      <c r="E423" s="17"/>
    </row>
    <row r="424" spans="5:5" ht="14.4">
      <c r="E424" s="17"/>
    </row>
    <row r="425" spans="5:5" ht="14.4">
      <c r="E425" s="17"/>
    </row>
    <row r="426" spans="5:5" ht="14.4">
      <c r="E426" s="17"/>
    </row>
    <row r="427" spans="5:5" ht="14.4">
      <c r="E427" s="17"/>
    </row>
    <row r="428" spans="5:5" ht="14.4">
      <c r="E428" s="17"/>
    </row>
    <row r="429" spans="5:5" ht="14.4">
      <c r="E429" s="17"/>
    </row>
    <row r="430" spans="5:5" ht="14.4">
      <c r="E430" s="17"/>
    </row>
    <row r="431" spans="5:5" ht="14.4">
      <c r="E431" s="17"/>
    </row>
    <row r="432" spans="5:5" ht="14.4">
      <c r="E432" s="17"/>
    </row>
    <row r="433" spans="5:5" ht="14.4">
      <c r="E433" s="17"/>
    </row>
    <row r="434" spans="5:5" ht="14.4">
      <c r="E434" s="17"/>
    </row>
    <row r="435" spans="5:5" ht="14.4">
      <c r="E435" s="17"/>
    </row>
    <row r="436" spans="5:5" ht="14.4">
      <c r="E436" s="17"/>
    </row>
    <row r="437" spans="5:5" ht="14.4">
      <c r="E437" s="17"/>
    </row>
    <row r="438" spans="5:5" ht="14.4">
      <c r="E438" s="17"/>
    </row>
    <row r="439" spans="5:5" ht="14.4">
      <c r="E439" s="17"/>
    </row>
    <row r="440" spans="5:5" ht="14.4">
      <c r="E440" s="17"/>
    </row>
    <row r="441" spans="5:5" ht="14.4">
      <c r="E441" s="17"/>
    </row>
    <row r="442" spans="5:5" ht="14.4">
      <c r="E442" s="17"/>
    </row>
    <row r="443" spans="5:5" ht="14.4">
      <c r="E443" s="17"/>
    </row>
    <row r="444" spans="5:5" ht="14.4">
      <c r="E444" s="17"/>
    </row>
    <row r="445" spans="5:5" ht="14.4">
      <c r="E445" s="17"/>
    </row>
    <row r="446" spans="5:5" ht="14.4">
      <c r="E446" s="17"/>
    </row>
    <row r="447" spans="5:5" ht="14.4">
      <c r="E447" s="17"/>
    </row>
    <row r="448" spans="5:5" ht="14.4">
      <c r="E448" s="17"/>
    </row>
    <row r="449" spans="5:5" ht="14.4">
      <c r="E449" s="17"/>
    </row>
    <row r="450" spans="5:5" ht="14.4">
      <c r="E450" s="17"/>
    </row>
    <row r="451" spans="5:5" ht="14.4">
      <c r="E451" s="17"/>
    </row>
    <row r="452" spans="5:5" ht="14.4">
      <c r="E452" s="17"/>
    </row>
    <row r="453" spans="5:5" ht="14.4">
      <c r="E453" s="17"/>
    </row>
    <row r="454" spans="5:5" ht="14.4">
      <c r="E454" s="17"/>
    </row>
    <row r="455" spans="5:5" ht="14.4">
      <c r="E455" s="17"/>
    </row>
    <row r="456" spans="5:5" ht="14.4">
      <c r="E456" s="17"/>
    </row>
    <row r="457" spans="5:5" ht="14.4">
      <c r="E457" s="17"/>
    </row>
    <row r="458" spans="5:5" ht="14.4">
      <c r="E458" s="17"/>
    </row>
    <row r="459" spans="5:5" ht="14.4">
      <c r="E459" s="17"/>
    </row>
    <row r="460" spans="5:5" ht="14.4">
      <c r="E460" s="17"/>
    </row>
    <row r="461" spans="5:5" ht="14.4">
      <c r="E461" s="17"/>
    </row>
    <row r="462" spans="5:5" ht="14.4">
      <c r="E462" s="17"/>
    </row>
    <row r="463" spans="5:5" ht="14.4">
      <c r="E463" s="17"/>
    </row>
    <row r="464" spans="5:5" ht="14.4">
      <c r="E464" s="17"/>
    </row>
    <row r="465" spans="5:5" ht="14.4">
      <c r="E465" s="17"/>
    </row>
    <row r="466" spans="5:5" ht="14.4">
      <c r="E466" s="17"/>
    </row>
    <row r="467" spans="5:5" ht="14.4">
      <c r="E467" s="17"/>
    </row>
    <row r="468" spans="5:5" ht="14.4">
      <c r="E468" s="17"/>
    </row>
    <row r="469" spans="5:5" ht="14.4">
      <c r="E469" s="17"/>
    </row>
    <row r="470" spans="5:5" ht="14.4">
      <c r="E470" s="17"/>
    </row>
    <row r="471" spans="5:5" ht="14.4">
      <c r="E471" s="17"/>
    </row>
    <row r="472" spans="5:5" ht="14.4">
      <c r="E472" s="17"/>
    </row>
    <row r="473" spans="5:5" ht="14.4">
      <c r="E473" s="17"/>
    </row>
    <row r="474" spans="5:5" ht="14.4">
      <c r="E474" s="17"/>
    </row>
    <row r="475" spans="5:5" ht="14.4">
      <c r="E475" s="17"/>
    </row>
    <row r="476" spans="5:5" ht="14.4">
      <c r="E476" s="17"/>
    </row>
    <row r="477" spans="5:5" ht="14.4">
      <c r="E477" s="17"/>
    </row>
    <row r="478" spans="5:5" ht="14.4">
      <c r="E478" s="17"/>
    </row>
    <row r="479" spans="5:5" ht="14.4">
      <c r="E479" s="17"/>
    </row>
    <row r="480" spans="5:5" ht="14.4">
      <c r="E480" s="17"/>
    </row>
    <row r="481" spans="5:5" ht="14.4">
      <c r="E481" s="17"/>
    </row>
    <row r="482" spans="5:5" ht="14.4">
      <c r="E482" s="17"/>
    </row>
    <row r="483" spans="5:5" ht="14.4">
      <c r="E483" s="17"/>
    </row>
    <row r="484" spans="5:5" ht="14.4">
      <c r="E484" s="17"/>
    </row>
    <row r="485" spans="5:5" ht="14.4">
      <c r="E485" s="17"/>
    </row>
    <row r="486" spans="5:5" ht="14.4">
      <c r="E486" s="17"/>
    </row>
    <row r="487" spans="5:5" ht="14.4">
      <c r="E487" s="17"/>
    </row>
    <row r="488" spans="5:5" ht="14.4">
      <c r="E488" s="17"/>
    </row>
    <row r="489" spans="5:5" ht="14.4">
      <c r="E489" s="17"/>
    </row>
    <row r="490" spans="5:5" ht="14.4">
      <c r="E490" s="17"/>
    </row>
    <row r="491" spans="5:5" ht="14.4">
      <c r="E491" s="17"/>
    </row>
    <row r="492" spans="5:5" ht="14.4">
      <c r="E492" s="17"/>
    </row>
    <row r="493" spans="5:5" ht="14.4">
      <c r="E493" s="17"/>
    </row>
    <row r="494" spans="5:5" ht="14.4">
      <c r="E494" s="17"/>
    </row>
    <row r="495" spans="5:5" ht="14.4">
      <c r="E495" s="17"/>
    </row>
    <row r="496" spans="5:5" ht="14.4">
      <c r="E496" s="17"/>
    </row>
    <row r="497" spans="5:5" ht="14.4">
      <c r="E497" s="17"/>
    </row>
    <row r="498" spans="5:5" ht="14.4">
      <c r="E498" s="17"/>
    </row>
    <row r="499" spans="5:5" ht="14.4">
      <c r="E499" s="17"/>
    </row>
    <row r="500" spans="5:5" ht="14.4">
      <c r="E500" s="17"/>
    </row>
    <row r="501" spans="5:5" ht="14.4">
      <c r="E501" s="17"/>
    </row>
    <row r="502" spans="5:5" ht="14.4">
      <c r="E502" s="17"/>
    </row>
    <row r="503" spans="5:5" ht="14.4">
      <c r="E503" s="17"/>
    </row>
    <row r="504" spans="5:5" ht="14.4">
      <c r="E504" s="17"/>
    </row>
    <row r="505" spans="5:5" ht="14.4">
      <c r="E505" s="17"/>
    </row>
    <row r="506" spans="5:5" ht="14.4">
      <c r="E506" s="17"/>
    </row>
    <row r="507" spans="5:5" ht="14.4">
      <c r="E507" s="17"/>
    </row>
    <row r="508" spans="5:5" ht="14.4">
      <c r="E508" s="17"/>
    </row>
    <row r="509" spans="5:5" ht="14.4">
      <c r="E509" s="17"/>
    </row>
    <row r="510" spans="5:5" ht="14.4">
      <c r="E510" s="17"/>
    </row>
    <row r="511" spans="5:5" ht="14.4">
      <c r="E511" s="17"/>
    </row>
    <row r="512" spans="5:5" ht="14.4">
      <c r="E512" s="17"/>
    </row>
    <row r="513" spans="5:5" ht="14.4">
      <c r="E513" s="17"/>
    </row>
    <row r="514" spans="5:5" ht="14.4">
      <c r="E514" s="17"/>
    </row>
    <row r="515" spans="5:5" ht="14.4">
      <c r="E515" s="17"/>
    </row>
    <row r="516" spans="5:5" ht="14.4">
      <c r="E516" s="17"/>
    </row>
    <row r="517" spans="5:5" ht="14.4">
      <c r="E517" s="17"/>
    </row>
    <row r="518" spans="5:5" ht="14.4">
      <c r="E518" s="17"/>
    </row>
    <row r="519" spans="5:5" ht="14.4">
      <c r="E519" s="17"/>
    </row>
    <row r="520" spans="5:5" ht="14.4">
      <c r="E520" s="17"/>
    </row>
    <row r="521" spans="5:5" ht="14.4">
      <c r="E521" s="17"/>
    </row>
    <row r="522" spans="5:5" ht="14.4">
      <c r="E522" s="17"/>
    </row>
    <row r="523" spans="5:5" ht="14.4">
      <c r="E523" s="17"/>
    </row>
    <row r="524" spans="5:5" ht="14.4">
      <c r="E524" s="17"/>
    </row>
    <row r="525" spans="5:5" ht="14.4">
      <c r="E525" s="17"/>
    </row>
    <row r="526" spans="5:5" ht="14.4">
      <c r="E526" s="17"/>
    </row>
    <row r="527" spans="5:5" ht="14.4">
      <c r="E527" s="17"/>
    </row>
    <row r="528" spans="5:5" ht="14.4">
      <c r="E528" s="17"/>
    </row>
    <row r="529" spans="5:5" ht="14.4">
      <c r="E529" s="17"/>
    </row>
    <row r="530" spans="5:5" ht="14.4">
      <c r="E530" s="17"/>
    </row>
    <row r="531" spans="5:5" ht="14.4">
      <c r="E531" s="17"/>
    </row>
    <row r="532" spans="5:5" ht="14.4">
      <c r="E532" s="17"/>
    </row>
    <row r="533" spans="5:5" ht="14.4">
      <c r="E533" s="17"/>
    </row>
    <row r="534" spans="5:5" ht="14.4">
      <c r="E534" s="17"/>
    </row>
    <row r="535" spans="5:5" ht="14.4">
      <c r="E535" s="17"/>
    </row>
    <row r="536" spans="5:5" ht="14.4">
      <c r="E536" s="17"/>
    </row>
    <row r="537" spans="5:5" ht="14.4">
      <c r="E537" s="17"/>
    </row>
    <row r="538" spans="5:5" ht="14.4">
      <c r="E538" s="17"/>
    </row>
    <row r="539" spans="5:5" ht="14.4">
      <c r="E539" s="17"/>
    </row>
    <row r="540" spans="5:5" ht="14.4">
      <c r="E540" s="17"/>
    </row>
    <row r="541" spans="5:5" ht="14.4">
      <c r="E541" s="17"/>
    </row>
    <row r="542" spans="5:5" ht="14.4">
      <c r="E542" s="17"/>
    </row>
    <row r="543" spans="5:5" ht="14.4">
      <c r="E543" s="17"/>
    </row>
    <row r="544" spans="5:5" ht="14.4">
      <c r="E544" s="17"/>
    </row>
    <row r="545" spans="5:5" ht="14.4">
      <c r="E545" s="17"/>
    </row>
    <row r="546" spans="5:5" ht="14.4">
      <c r="E546" s="17"/>
    </row>
    <row r="547" spans="5:5" ht="14.4">
      <c r="E547" s="17"/>
    </row>
    <row r="548" spans="5:5" ht="14.4">
      <c r="E548" s="17"/>
    </row>
    <row r="549" spans="5:5" ht="14.4">
      <c r="E549" s="17"/>
    </row>
    <row r="550" spans="5:5" ht="14.4">
      <c r="E550" s="17"/>
    </row>
    <row r="551" spans="5:5" ht="14.4">
      <c r="E551" s="17"/>
    </row>
    <row r="552" spans="5:5" ht="14.4">
      <c r="E552" s="17"/>
    </row>
    <row r="553" spans="5:5" ht="14.4">
      <c r="E553" s="17"/>
    </row>
    <row r="554" spans="5:5" ht="14.4">
      <c r="E554" s="17"/>
    </row>
    <row r="555" spans="5:5" ht="14.4">
      <c r="E555" s="17"/>
    </row>
    <row r="556" spans="5:5" ht="14.4">
      <c r="E556" s="17"/>
    </row>
    <row r="557" spans="5:5" ht="14.4">
      <c r="E557" s="17"/>
    </row>
    <row r="558" spans="5:5" ht="14.4">
      <c r="E558" s="17"/>
    </row>
    <row r="559" spans="5:5" ht="14.4">
      <c r="E559" s="17"/>
    </row>
    <row r="560" spans="5:5" ht="14.4">
      <c r="E560" s="17"/>
    </row>
    <row r="561" spans="5:5" ht="14.4">
      <c r="E561" s="17"/>
    </row>
    <row r="562" spans="5:5" ht="14.4">
      <c r="E562" s="17"/>
    </row>
    <row r="563" spans="5:5" ht="14.4">
      <c r="E563" s="17"/>
    </row>
    <row r="564" spans="5:5" ht="14.4">
      <c r="E564" s="17"/>
    </row>
    <row r="565" spans="5:5" ht="14.4">
      <c r="E565" s="17"/>
    </row>
    <row r="566" spans="5:5" ht="14.4">
      <c r="E566" s="17"/>
    </row>
    <row r="567" spans="5:5" ht="14.4">
      <c r="E567" s="17"/>
    </row>
    <row r="568" spans="5:5" ht="14.4">
      <c r="E568" s="17"/>
    </row>
    <row r="569" spans="5:5" ht="14.4">
      <c r="E569" s="17"/>
    </row>
    <row r="570" spans="5:5" ht="14.4">
      <c r="E570" s="17"/>
    </row>
    <row r="571" spans="5:5" ht="14.4">
      <c r="E571" s="17"/>
    </row>
    <row r="572" spans="5:5" ht="14.4">
      <c r="E572" s="17"/>
    </row>
    <row r="573" spans="5:5" ht="14.4">
      <c r="E573" s="17"/>
    </row>
    <row r="574" spans="5:5" ht="14.4">
      <c r="E574" s="17"/>
    </row>
    <row r="575" spans="5:5" ht="14.4">
      <c r="E575" s="17"/>
    </row>
    <row r="576" spans="5:5" ht="14.4">
      <c r="E576" s="17"/>
    </row>
    <row r="577" spans="5:5" ht="14.4">
      <c r="E577" s="17"/>
    </row>
    <row r="578" spans="5:5" ht="14.4">
      <c r="E578" s="17"/>
    </row>
    <row r="579" spans="5:5" ht="14.4">
      <c r="E579" s="17"/>
    </row>
    <row r="580" spans="5:5" ht="14.4">
      <c r="E580" s="17"/>
    </row>
    <row r="581" spans="5:5" ht="14.4">
      <c r="E581" s="17"/>
    </row>
    <row r="582" spans="5:5" ht="14.4">
      <c r="E582" s="17"/>
    </row>
    <row r="583" spans="5:5" ht="14.4">
      <c r="E583" s="17"/>
    </row>
    <row r="584" spans="5:5" ht="14.4">
      <c r="E584" s="17"/>
    </row>
    <row r="585" spans="5:5" ht="14.4">
      <c r="E585" s="17"/>
    </row>
    <row r="586" spans="5:5" ht="14.4">
      <c r="E586" s="17"/>
    </row>
    <row r="587" spans="5:5" ht="14.4">
      <c r="E587" s="17"/>
    </row>
    <row r="588" spans="5:5" ht="14.4">
      <c r="E588" s="17"/>
    </row>
    <row r="589" spans="5:5" ht="14.4">
      <c r="E589" s="17"/>
    </row>
    <row r="590" spans="5:5" ht="14.4">
      <c r="E590" s="17"/>
    </row>
    <row r="591" spans="5:5" ht="14.4">
      <c r="E591" s="17"/>
    </row>
    <row r="592" spans="5:5" ht="14.4">
      <c r="E592" s="17"/>
    </row>
    <row r="593" spans="5:5" ht="14.4">
      <c r="E593" s="17"/>
    </row>
    <row r="594" spans="5:5" ht="14.4">
      <c r="E594" s="17"/>
    </row>
    <row r="595" spans="5:5" ht="14.4">
      <c r="E595" s="17"/>
    </row>
    <row r="596" spans="5:5" ht="14.4">
      <c r="E596" s="17"/>
    </row>
    <row r="597" spans="5:5" ht="14.4">
      <c r="E597" s="17"/>
    </row>
    <row r="598" spans="5:5" ht="14.4">
      <c r="E598" s="17"/>
    </row>
    <row r="599" spans="5:5" ht="14.4">
      <c r="E599" s="17"/>
    </row>
    <row r="600" spans="5:5" ht="14.4">
      <c r="E600" s="17"/>
    </row>
    <row r="601" spans="5:5" ht="14.4">
      <c r="E601" s="17"/>
    </row>
    <row r="602" spans="5:5" ht="14.4">
      <c r="E602" s="17"/>
    </row>
    <row r="603" spans="5:5" ht="14.4">
      <c r="E603" s="17"/>
    </row>
    <row r="604" spans="5:5" ht="14.4">
      <c r="E604" s="17"/>
    </row>
    <row r="605" spans="5:5" ht="14.4">
      <c r="E605" s="17"/>
    </row>
    <row r="606" spans="5:5" ht="14.4">
      <c r="E606" s="17"/>
    </row>
    <row r="607" spans="5:5" ht="14.4">
      <c r="E607" s="17"/>
    </row>
    <row r="608" spans="5:5" ht="14.4">
      <c r="E608" s="17"/>
    </row>
    <row r="609" spans="5:5" ht="14.4">
      <c r="E609" s="17"/>
    </row>
    <row r="610" spans="5:5" ht="14.4">
      <c r="E610" s="17"/>
    </row>
    <row r="611" spans="5:5" ht="14.4">
      <c r="E611" s="17"/>
    </row>
    <row r="612" spans="5:5" ht="14.4">
      <c r="E612" s="17"/>
    </row>
    <row r="613" spans="5:5" ht="14.4">
      <c r="E613" s="17"/>
    </row>
    <row r="614" spans="5:5" ht="14.4">
      <c r="E614" s="17"/>
    </row>
    <row r="615" spans="5:5" ht="14.4">
      <c r="E615" s="17"/>
    </row>
    <row r="616" spans="5:5" ht="14.4">
      <c r="E616" s="17"/>
    </row>
    <row r="617" spans="5:5" ht="14.4">
      <c r="E617" s="17"/>
    </row>
    <row r="618" spans="5:5" ht="14.4">
      <c r="E618" s="17"/>
    </row>
    <row r="619" spans="5:5" ht="14.4">
      <c r="E619" s="17"/>
    </row>
    <row r="620" spans="5:5" ht="14.4">
      <c r="E620" s="17"/>
    </row>
    <row r="621" spans="5:5" ht="14.4">
      <c r="E621" s="17"/>
    </row>
    <row r="622" spans="5:5" ht="14.4">
      <c r="E622" s="17"/>
    </row>
    <row r="623" spans="5:5" ht="14.4">
      <c r="E623" s="17"/>
    </row>
    <row r="624" spans="5:5" ht="14.4">
      <c r="E624" s="17"/>
    </row>
    <row r="625" spans="5:5" ht="14.4">
      <c r="E625" s="17"/>
    </row>
    <row r="626" spans="5:5" ht="14.4">
      <c r="E626" s="17"/>
    </row>
    <row r="627" spans="5:5" ht="14.4">
      <c r="E627" s="17"/>
    </row>
    <row r="628" spans="5:5" ht="14.4">
      <c r="E628" s="17"/>
    </row>
    <row r="629" spans="5:5" ht="14.4">
      <c r="E629" s="17"/>
    </row>
    <row r="630" spans="5:5" ht="14.4">
      <c r="E630" s="17"/>
    </row>
    <row r="631" spans="5:5" ht="14.4">
      <c r="E631" s="17"/>
    </row>
    <row r="632" spans="5:5" ht="14.4">
      <c r="E632" s="17"/>
    </row>
    <row r="633" spans="5:5" ht="14.4">
      <c r="E633" s="17"/>
    </row>
    <row r="634" spans="5:5" ht="14.4">
      <c r="E634" s="17"/>
    </row>
    <row r="635" spans="5:5" ht="14.4">
      <c r="E635" s="17"/>
    </row>
    <row r="636" spans="5:5" ht="14.4">
      <c r="E636" s="17"/>
    </row>
    <row r="637" spans="5:5" ht="14.4">
      <c r="E637" s="17"/>
    </row>
    <row r="638" spans="5:5" ht="14.4">
      <c r="E638" s="17"/>
    </row>
    <row r="639" spans="5:5" ht="14.4">
      <c r="E639" s="17"/>
    </row>
    <row r="640" spans="5:5" ht="14.4">
      <c r="E640" s="17"/>
    </row>
    <row r="641" spans="5:5" ht="14.4">
      <c r="E641" s="17"/>
    </row>
    <row r="642" spans="5:5" ht="14.4">
      <c r="E642" s="17"/>
    </row>
    <row r="643" spans="5:5" ht="14.4">
      <c r="E643" s="17"/>
    </row>
    <row r="644" spans="5:5" ht="14.4">
      <c r="E644" s="17"/>
    </row>
    <row r="645" spans="5:5" ht="14.4">
      <c r="E645" s="17"/>
    </row>
    <row r="646" spans="5:5" ht="14.4">
      <c r="E646" s="17"/>
    </row>
    <row r="647" spans="5:5" ht="14.4">
      <c r="E647" s="17"/>
    </row>
    <row r="648" spans="5:5" ht="14.4">
      <c r="E648" s="17"/>
    </row>
    <row r="649" spans="5:5" ht="14.4">
      <c r="E649" s="17"/>
    </row>
    <row r="650" spans="5:5" ht="14.4">
      <c r="E650" s="17"/>
    </row>
    <row r="651" spans="5:5" ht="14.4">
      <c r="E651" s="17"/>
    </row>
    <row r="652" spans="5:5" ht="14.4">
      <c r="E652" s="17"/>
    </row>
    <row r="653" spans="5:5" ht="14.4">
      <c r="E653" s="17"/>
    </row>
    <row r="654" spans="5:5" ht="14.4">
      <c r="E654" s="17"/>
    </row>
    <row r="655" spans="5:5" ht="14.4">
      <c r="E655" s="17"/>
    </row>
    <row r="656" spans="5:5" ht="14.4">
      <c r="E656" s="17"/>
    </row>
    <row r="657" spans="5:5" ht="14.4">
      <c r="E657" s="17"/>
    </row>
    <row r="658" spans="5:5" ht="14.4">
      <c r="E658" s="17"/>
    </row>
    <row r="659" spans="5:5" ht="14.4">
      <c r="E659" s="17"/>
    </row>
    <row r="660" spans="5:5" ht="14.4">
      <c r="E660" s="17"/>
    </row>
    <row r="661" spans="5:5" ht="14.4">
      <c r="E661" s="17"/>
    </row>
    <row r="662" spans="5:5" ht="14.4">
      <c r="E662" s="17"/>
    </row>
    <row r="663" spans="5:5" ht="14.4">
      <c r="E663" s="17"/>
    </row>
    <row r="664" spans="5:5" ht="14.4">
      <c r="E664" s="17"/>
    </row>
    <row r="665" spans="5:5" ht="14.4">
      <c r="E665" s="17"/>
    </row>
    <row r="666" spans="5:5" ht="14.4">
      <c r="E666" s="17"/>
    </row>
    <row r="667" spans="5:5" ht="14.4">
      <c r="E667" s="17"/>
    </row>
    <row r="668" spans="5:5" ht="14.4">
      <c r="E668" s="17"/>
    </row>
    <row r="669" spans="5:5" ht="14.4">
      <c r="E669" s="17"/>
    </row>
    <row r="670" spans="5:5" ht="14.4">
      <c r="E670" s="17"/>
    </row>
    <row r="671" spans="5:5" ht="14.4">
      <c r="E671" s="17"/>
    </row>
    <row r="672" spans="5:5" ht="14.4">
      <c r="E672" s="17"/>
    </row>
    <row r="673" spans="5:5" ht="14.4">
      <c r="E673" s="17"/>
    </row>
    <row r="674" spans="5:5" ht="14.4">
      <c r="E674" s="17"/>
    </row>
    <row r="675" spans="5:5" ht="14.4">
      <c r="E675" s="17"/>
    </row>
    <row r="676" spans="5:5" ht="14.4">
      <c r="E676" s="17"/>
    </row>
    <row r="677" spans="5:5" ht="14.4">
      <c r="E677" s="17"/>
    </row>
    <row r="678" spans="5:5" ht="14.4">
      <c r="E678" s="17"/>
    </row>
    <row r="679" spans="5:5" ht="14.4">
      <c r="E679" s="17"/>
    </row>
    <row r="680" spans="5:5" ht="14.4">
      <c r="E680" s="17"/>
    </row>
    <row r="681" spans="5:5" ht="14.4">
      <c r="E681" s="17"/>
    </row>
    <row r="682" spans="5:5" ht="14.4">
      <c r="E682" s="17"/>
    </row>
    <row r="683" spans="5:5" ht="14.4">
      <c r="E683" s="17"/>
    </row>
    <row r="684" spans="5:5" ht="14.4">
      <c r="E684" s="17"/>
    </row>
    <row r="685" spans="5:5" ht="14.4">
      <c r="E685" s="17"/>
    </row>
    <row r="686" spans="5:5" ht="14.4">
      <c r="E686" s="17"/>
    </row>
    <row r="687" spans="5:5" ht="14.4">
      <c r="E687" s="17"/>
    </row>
    <row r="688" spans="5:5" ht="14.4">
      <c r="E688" s="17"/>
    </row>
    <row r="689" spans="5:5" ht="14.4">
      <c r="E689" s="17"/>
    </row>
    <row r="690" spans="5:5" ht="14.4">
      <c r="E690" s="17"/>
    </row>
    <row r="691" spans="5:5" ht="14.4">
      <c r="E691" s="17"/>
    </row>
    <row r="692" spans="5:5" ht="14.4">
      <c r="E692" s="17"/>
    </row>
    <row r="693" spans="5:5" ht="14.4">
      <c r="E693" s="17"/>
    </row>
    <row r="694" spans="5:5" ht="14.4">
      <c r="E694" s="17"/>
    </row>
    <row r="695" spans="5:5" ht="14.4">
      <c r="E695" s="17"/>
    </row>
    <row r="696" spans="5:5" ht="14.4">
      <c r="E696" s="17"/>
    </row>
    <row r="697" spans="5:5" ht="14.4">
      <c r="E697" s="17"/>
    </row>
    <row r="698" spans="5:5" ht="14.4">
      <c r="E698" s="17"/>
    </row>
    <row r="699" spans="5:5" ht="14.4">
      <c r="E699" s="17"/>
    </row>
    <row r="700" spans="5:5" ht="14.4">
      <c r="E700" s="17"/>
    </row>
    <row r="701" spans="5:5" ht="14.4">
      <c r="E701" s="17"/>
    </row>
    <row r="702" spans="5:5" ht="14.4">
      <c r="E702" s="17"/>
    </row>
    <row r="703" spans="5:5" ht="14.4">
      <c r="E703" s="17"/>
    </row>
    <row r="704" spans="5:5" ht="14.4">
      <c r="E704" s="17"/>
    </row>
    <row r="705" spans="5:5" ht="14.4">
      <c r="E705" s="17"/>
    </row>
    <row r="706" spans="5:5" ht="14.4">
      <c r="E706" s="17"/>
    </row>
    <row r="707" spans="5:5" ht="14.4">
      <c r="E707" s="17"/>
    </row>
    <row r="708" spans="5:5" ht="14.4">
      <c r="E708" s="17"/>
    </row>
    <row r="709" spans="5:5" ht="14.4">
      <c r="E709" s="17"/>
    </row>
    <row r="710" spans="5:5" ht="14.4">
      <c r="E710" s="17"/>
    </row>
    <row r="711" spans="5:5" ht="14.4">
      <c r="E711" s="17"/>
    </row>
    <row r="712" spans="5:5" ht="14.4">
      <c r="E712" s="17"/>
    </row>
    <row r="713" spans="5:5" ht="14.4">
      <c r="E713" s="17"/>
    </row>
    <row r="714" spans="5:5" ht="14.4">
      <c r="E714" s="17"/>
    </row>
    <row r="715" spans="5:5" ht="14.4">
      <c r="E715" s="17"/>
    </row>
    <row r="716" spans="5:5" ht="14.4">
      <c r="E716" s="17"/>
    </row>
    <row r="717" spans="5:5" ht="14.4">
      <c r="E717" s="17"/>
    </row>
    <row r="718" spans="5:5" ht="14.4">
      <c r="E718" s="17"/>
    </row>
    <row r="719" spans="5:5" ht="14.4">
      <c r="E719" s="17"/>
    </row>
    <row r="720" spans="5:5" ht="14.4">
      <c r="E720" s="17"/>
    </row>
    <row r="721" spans="5:5" ht="14.4">
      <c r="E721" s="17"/>
    </row>
    <row r="722" spans="5:5" ht="14.4">
      <c r="E722" s="17"/>
    </row>
    <row r="723" spans="5:5" ht="14.4">
      <c r="E723" s="17"/>
    </row>
    <row r="724" spans="5:5" ht="14.4">
      <c r="E724" s="17"/>
    </row>
    <row r="725" spans="5:5" ht="14.4">
      <c r="E725" s="17"/>
    </row>
    <row r="726" spans="5:5" ht="14.4">
      <c r="E726" s="17"/>
    </row>
    <row r="727" spans="5:5" ht="14.4">
      <c r="E727" s="17"/>
    </row>
    <row r="728" spans="5:5" ht="14.4">
      <c r="E728" s="17"/>
    </row>
    <row r="729" spans="5:5" ht="14.4">
      <c r="E729" s="17"/>
    </row>
    <row r="730" spans="5:5" ht="14.4">
      <c r="E730" s="17"/>
    </row>
    <row r="731" spans="5:5" ht="14.4">
      <c r="E731" s="17"/>
    </row>
    <row r="732" spans="5:5" ht="14.4">
      <c r="E732" s="17"/>
    </row>
    <row r="733" spans="5:5" ht="14.4">
      <c r="E733" s="17"/>
    </row>
    <row r="734" spans="5:5" ht="14.4">
      <c r="E734" s="17"/>
    </row>
    <row r="735" spans="5:5" ht="14.4">
      <c r="E735" s="17"/>
    </row>
    <row r="736" spans="5:5" ht="14.4">
      <c r="E736" s="17"/>
    </row>
    <row r="737" spans="5:5" ht="14.4">
      <c r="E737" s="17"/>
    </row>
    <row r="738" spans="5:5" ht="14.4">
      <c r="E738" s="17"/>
    </row>
    <row r="739" spans="5:5" ht="14.4">
      <c r="E739" s="17"/>
    </row>
    <row r="740" spans="5:5" ht="14.4">
      <c r="E740" s="17"/>
    </row>
    <row r="741" spans="5:5" ht="14.4">
      <c r="E741" s="17"/>
    </row>
    <row r="742" spans="5:5" ht="14.4">
      <c r="E742" s="17"/>
    </row>
    <row r="743" spans="5:5" ht="14.4">
      <c r="E743" s="17"/>
    </row>
    <row r="744" spans="5:5" ht="14.4">
      <c r="E744" s="17"/>
    </row>
    <row r="745" spans="5:5" ht="14.4">
      <c r="E745" s="17"/>
    </row>
    <row r="746" spans="5:5" ht="14.4">
      <c r="E746" s="17"/>
    </row>
    <row r="747" spans="5:5" ht="14.4">
      <c r="E747" s="17"/>
    </row>
    <row r="748" spans="5:5" ht="14.4">
      <c r="E748" s="17"/>
    </row>
    <row r="749" spans="5:5" ht="14.4">
      <c r="E749" s="17"/>
    </row>
    <row r="750" spans="5:5" ht="14.4">
      <c r="E750" s="17"/>
    </row>
    <row r="751" spans="5:5" ht="14.4">
      <c r="E751" s="17"/>
    </row>
    <row r="752" spans="5:5" ht="14.4">
      <c r="E752" s="17"/>
    </row>
    <row r="753" spans="5:5" ht="14.4">
      <c r="E753" s="17"/>
    </row>
    <row r="754" spans="5:5" ht="14.4">
      <c r="E754" s="17"/>
    </row>
    <row r="755" spans="5:5" ht="14.4">
      <c r="E755" s="17"/>
    </row>
    <row r="756" spans="5:5" ht="14.4">
      <c r="E756" s="17"/>
    </row>
    <row r="757" spans="5:5" ht="14.4">
      <c r="E757" s="17"/>
    </row>
    <row r="758" spans="5:5" ht="14.4">
      <c r="E758" s="17"/>
    </row>
    <row r="759" spans="5:5" ht="14.4">
      <c r="E759" s="17"/>
    </row>
    <row r="760" spans="5:5" ht="14.4">
      <c r="E760" s="17"/>
    </row>
    <row r="761" spans="5:5" ht="14.4">
      <c r="E761" s="17"/>
    </row>
    <row r="762" spans="5:5" ht="14.4">
      <c r="E762" s="17"/>
    </row>
    <row r="763" spans="5:5" ht="14.4">
      <c r="E763" s="17"/>
    </row>
    <row r="764" spans="5:5" ht="14.4">
      <c r="E764" s="17"/>
    </row>
    <row r="765" spans="5:5" ht="14.4">
      <c r="E765" s="17"/>
    </row>
    <row r="766" spans="5:5" ht="14.4">
      <c r="E766" s="17"/>
    </row>
    <row r="767" spans="5:5" ht="14.4">
      <c r="E767" s="17"/>
    </row>
    <row r="768" spans="5:5" ht="14.4">
      <c r="E768" s="17"/>
    </row>
    <row r="769" spans="5:5" ht="14.4">
      <c r="E769" s="17"/>
    </row>
    <row r="770" spans="5:5" ht="14.4">
      <c r="E770" s="17"/>
    </row>
    <row r="771" spans="5:5" ht="14.4">
      <c r="E771" s="17"/>
    </row>
    <row r="772" spans="5:5" ht="14.4">
      <c r="E772" s="17"/>
    </row>
    <row r="773" spans="5:5" ht="14.4">
      <c r="E773" s="17"/>
    </row>
    <row r="774" spans="5:5" ht="14.4">
      <c r="E774" s="17"/>
    </row>
    <row r="775" spans="5:5" ht="14.4">
      <c r="E775" s="17"/>
    </row>
    <row r="776" spans="5:5" ht="14.4">
      <c r="E776" s="17"/>
    </row>
    <row r="777" spans="5:5" ht="14.4">
      <c r="E777" s="17"/>
    </row>
    <row r="778" spans="5:5" ht="14.4">
      <c r="E778" s="17"/>
    </row>
    <row r="779" spans="5:5" ht="14.4">
      <c r="E779" s="17"/>
    </row>
    <row r="780" spans="5:5" ht="14.4">
      <c r="E780" s="17"/>
    </row>
    <row r="781" spans="5:5" ht="14.4">
      <c r="E781" s="17"/>
    </row>
    <row r="782" spans="5:5" ht="14.4">
      <c r="E782" s="17"/>
    </row>
    <row r="783" spans="5:5" ht="14.4">
      <c r="E783" s="17"/>
    </row>
    <row r="784" spans="5:5" ht="14.4">
      <c r="E784" s="17"/>
    </row>
    <row r="785" spans="5:5" ht="14.4">
      <c r="E785" s="17"/>
    </row>
    <row r="786" spans="5:5" ht="14.4">
      <c r="E786" s="17"/>
    </row>
    <row r="787" spans="5:5" ht="14.4">
      <c r="E787" s="17"/>
    </row>
    <row r="788" spans="5:5" ht="14.4">
      <c r="E788" s="17"/>
    </row>
    <row r="789" spans="5:5" ht="14.4">
      <c r="E789" s="17"/>
    </row>
    <row r="790" spans="5:5" ht="14.4">
      <c r="E790" s="17"/>
    </row>
    <row r="791" spans="5:5" ht="14.4">
      <c r="E791" s="17"/>
    </row>
    <row r="792" spans="5:5" ht="14.4">
      <c r="E792" s="17"/>
    </row>
    <row r="793" spans="5:5" ht="14.4">
      <c r="E793" s="17"/>
    </row>
    <row r="794" spans="5:5" ht="14.4">
      <c r="E794" s="17"/>
    </row>
    <row r="795" spans="5:5" ht="14.4">
      <c r="E795" s="17"/>
    </row>
    <row r="796" spans="5:5" ht="14.4">
      <c r="E796" s="17"/>
    </row>
    <row r="797" spans="5:5" ht="14.4">
      <c r="E797" s="17"/>
    </row>
    <row r="798" spans="5:5" ht="14.4">
      <c r="E798" s="17"/>
    </row>
    <row r="799" spans="5:5" ht="14.4">
      <c r="E799" s="17"/>
    </row>
    <row r="800" spans="5:5" ht="14.4">
      <c r="E800" s="17"/>
    </row>
    <row r="801" spans="5:5" ht="14.4">
      <c r="E801" s="17"/>
    </row>
    <row r="802" spans="5:5" ht="14.4">
      <c r="E802" s="17"/>
    </row>
    <row r="803" spans="5:5" ht="14.4">
      <c r="E803" s="17"/>
    </row>
    <row r="804" spans="5:5" ht="14.4">
      <c r="E804" s="17"/>
    </row>
    <row r="805" spans="5:5" ht="14.4">
      <c r="E805" s="17"/>
    </row>
    <row r="806" spans="5:5" ht="14.4">
      <c r="E806" s="17"/>
    </row>
    <row r="807" spans="5:5" ht="14.4">
      <c r="E807" s="17"/>
    </row>
    <row r="808" spans="5:5" ht="14.4">
      <c r="E808" s="17"/>
    </row>
    <row r="809" spans="5:5" ht="14.4">
      <c r="E809" s="17"/>
    </row>
    <row r="810" spans="5:5" ht="14.4">
      <c r="E810" s="17"/>
    </row>
    <row r="811" spans="5:5" ht="14.4">
      <c r="E811" s="17"/>
    </row>
    <row r="812" spans="5:5" ht="14.4">
      <c r="E812" s="17"/>
    </row>
    <row r="813" spans="5:5" ht="14.4">
      <c r="E813" s="17"/>
    </row>
    <row r="814" spans="5:5" ht="14.4">
      <c r="E814" s="17"/>
    </row>
    <row r="815" spans="5:5" ht="14.4">
      <c r="E815" s="17"/>
    </row>
    <row r="816" spans="5:5" ht="14.4">
      <c r="E816" s="17"/>
    </row>
    <row r="817" spans="5:5" ht="14.4">
      <c r="E817" s="17"/>
    </row>
    <row r="818" spans="5:5" ht="14.4">
      <c r="E818" s="17"/>
    </row>
    <row r="819" spans="5:5" ht="14.4">
      <c r="E819" s="17"/>
    </row>
    <row r="820" spans="5:5" ht="14.4">
      <c r="E820" s="17"/>
    </row>
    <row r="821" spans="5:5" ht="14.4">
      <c r="E821" s="17"/>
    </row>
    <row r="822" spans="5:5" ht="14.4">
      <c r="E822" s="17"/>
    </row>
    <row r="823" spans="5:5" ht="14.4">
      <c r="E823" s="17"/>
    </row>
    <row r="824" spans="5:5" ht="14.4">
      <c r="E824" s="17"/>
    </row>
    <row r="825" spans="5:5" ht="14.4">
      <c r="E825" s="17"/>
    </row>
    <row r="826" spans="5:5" ht="14.4">
      <c r="E826" s="17"/>
    </row>
    <row r="827" spans="5:5" ht="14.4">
      <c r="E827" s="17"/>
    </row>
    <row r="828" spans="5:5" ht="14.4">
      <c r="E828" s="17"/>
    </row>
    <row r="829" spans="5:5" ht="14.4">
      <c r="E829" s="17"/>
    </row>
    <row r="830" spans="5:5" ht="14.4">
      <c r="E830" s="17"/>
    </row>
    <row r="831" spans="5:5" ht="14.4">
      <c r="E831" s="17"/>
    </row>
    <row r="832" spans="5:5" ht="14.4">
      <c r="E832" s="17"/>
    </row>
    <row r="833" spans="5:5" ht="14.4">
      <c r="E833" s="17"/>
    </row>
    <row r="834" spans="5:5" ht="14.4">
      <c r="E834" s="17"/>
    </row>
    <row r="835" spans="5:5" ht="14.4">
      <c r="E835" s="17"/>
    </row>
    <row r="836" spans="5:5" ht="14.4">
      <c r="E836" s="17"/>
    </row>
    <row r="837" spans="5:5" ht="14.4">
      <c r="E837" s="17"/>
    </row>
    <row r="838" spans="5:5" ht="14.4">
      <c r="E838" s="17"/>
    </row>
    <row r="839" spans="5:5" ht="14.4">
      <c r="E839" s="17"/>
    </row>
    <row r="840" spans="5:5" ht="14.4">
      <c r="E840" s="17"/>
    </row>
    <row r="841" spans="5:5" ht="14.4">
      <c r="E841" s="17"/>
    </row>
    <row r="842" spans="5:5" ht="14.4">
      <c r="E842" s="17"/>
    </row>
    <row r="843" spans="5:5" ht="14.4">
      <c r="E843" s="17"/>
    </row>
    <row r="844" spans="5:5" ht="14.4">
      <c r="E844" s="17"/>
    </row>
    <row r="845" spans="5:5" ht="14.4">
      <c r="E845" s="17"/>
    </row>
    <row r="846" spans="5:5" ht="14.4">
      <c r="E846" s="17"/>
    </row>
    <row r="847" spans="5:5" ht="14.4">
      <c r="E847" s="17"/>
    </row>
    <row r="848" spans="5:5" ht="14.4">
      <c r="E848" s="17"/>
    </row>
    <row r="849" spans="5:5" ht="14.4">
      <c r="E849" s="17"/>
    </row>
    <row r="850" spans="5:5" ht="14.4">
      <c r="E850" s="17"/>
    </row>
    <row r="851" spans="5:5" ht="14.4">
      <c r="E851" s="17"/>
    </row>
    <row r="852" spans="5:5" ht="14.4">
      <c r="E852" s="17"/>
    </row>
    <row r="853" spans="5:5" ht="14.4">
      <c r="E853" s="17"/>
    </row>
    <row r="854" spans="5:5" ht="14.4">
      <c r="E854" s="17"/>
    </row>
    <row r="855" spans="5:5" ht="14.4">
      <c r="E855" s="17"/>
    </row>
    <row r="856" spans="5:5" ht="14.4">
      <c r="E856" s="17"/>
    </row>
    <row r="857" spans="5:5" ht="14.4">
      <c r="E857" s="17"/>
    </row>
    <row r="858" spans="5:5" ht="14.4">
      <c r="E858" s="17"/>
    </row>
    <row r="859" spans="5:5" ht="14.4">
      <c r="E859" s="17"/>
    </row>
    <row r="860" spans="5:5" ht="14.4">
      <c r="E860" s="17"/>
    </row>
    <row r="861" spans="5:5" ht="14.4">
      <c r="E861" s="17"/>
    </row>
    <row r="862" spans="5:5" ht="14.4">
      <c r="E862" s="17"/>
    </row>
    <row r="863" spans="5:5" ht="14.4">
      <c r="E863" s="17"/>
    </row>
    <row r="864" spans="5:5" ht="14.4">
      <c r="E864" s="17"/>
    </row>
    <row r="865" spans="5:5" ht="14.4">
      <c r="E865" s="17"/>
    </row>
    <row r="866" spans="5:5" ht="14.4">
      <c r="E866" s="17"/>
    </row>
    <row r="867" spans="5:5" ht="14.4">
      <c r="E867" s="17"/>
    </row>
    <row r="868" spans="5:5" ht="14.4">
      <c r="E868" s="17"/>
    </row>
    <row r="869" spans="5:5" ht="14.4">
      <c r="E869" s="17"/>
    </row>
    <row r="870" spans="5:5" ht="14.4">
      <c r="E870" s="17"/>
    </row>
    <row r="871" spans="5:5" ht="14.4">
      <c r="E871" s="17"/>
    </row>
    <row r="872" spans="5:5" ht="14.4">
      <c r="E872" s="17"/>
    </row>
    <row r="873" spans="5:5" ht="14.4">
      <c r="E873" s="17"/>
    </row>
    <row r="874" spans="5:5" ht="14.4">
      <c r="E874" s="17"/>
    </row>
    <row r="875" spans="5:5" ht="14.4">
      <c r="E875" s="17"/>
    </row>
    <row r="876" spans="5:5" ht="14.4">
      <c r="E876" s="17"/>
    </row>
    <row r="877" spans="5:5" ht="14.4">
      <c r="E877" s="17"/>
    </row>
    <row r="878" spans="5:5" ht="14.4">
      <c r="E878" s="17"/>
    </row>
    <row r="879" spans="5:5" ht="14.4">
      <c r="E879" s="17"/>
    </row>
    <row r="880" spans="5:5" ht="14.4">
      <c r="E880" s="17"/>
    </row>
    <row r="881" spans="5:5" ht="14.4">
      <c r="E881" s="17"/>
    </row>
    <row r="882" spans="5:5" ht="14.4">
      <c r="E882" s="17"/>
    </row>
    <row r="883" spans="5:5" ht="14.4">
      <c r="E883" s="17"/>
    </row>
    <row r="884" spans="5:5" ht="14.4">
      <c r="E884" s="17"/>
    </row>
    <row r="885" spans="5:5" ht="14.4">
      <c r="E885" s="17"/>
    </row>
    <row r="886" spans="5:5" ht="14.4">
      <c r="E886" s="17"/>
    </row>
    <row r="887" spans="5:5" ht="14.4">
      <c r="E887" s="17"/>
    </row>
    <row r="888" spans="5:5" ht="14.4">
      <c r="E888" s="17"/>
    </row>
    <row r="889" spans="5:5" ht="14.4">
      <c r="E889" s="17"/>
    </row>
    <row r="890" spans="5:5" ht="14.4">
      <c r="E890" s="17"/>
    </row>
    <row r="891" spans="5:5" ht="14.4">
      <c r="E891" s="17"/>
    </row>
    <row r="892" spans="5:5" ht="14.4">
      <c r="E892" s="17"/>
    </row>
    <row r="893" spans="5:5" ht="14.4">
      <c r="E893" s="17"/>
    </row>
    <row r="894" spans="5:5" ht="14.4">
      <c r="E894" s="17"/>
    </row>
    <row r="895" spans="5:5" ht="14.4">
      <c r="E895" s="17"/>
    </row>
    <row r="896" spans="5:5" ht="14.4">
      <c r="E896" s="17"/>
    </row>
    <row r="897" spans="5:5" ht="14.4">
      <c r="E897" s="17"/>
    </row>
    <row r="898" spans="5:5" ht="14.4">
      <c r="E898" s="17"/>
    </row>
    <row r="899" spans="5:5" ht="14.4">
      <c r="E899" s="17"/>
    </row>
    <row r="900" spans="5:5" ht="14.4">
      <c r="E900" s="17"/>
    </row>
    <row r="901" spans="5:5" ht="14.4">
      <c r="E901" s="17"/>
    </row>
    <row r="902" spans="5:5" ht="14.4">
      <c r="E902" s="17"/>
    </row>
    <row r="903" spans="5:5" ht="14.4">
      <c r="E903" s="17"/>
    </row>
    <row r="904" spans="5:5" ht="14.4">
      <c r="E904" s="17"/>
    </row>
    <row r="905" spans="5:5" ht="14.4">
      <c r="E905" s="17"/>
    </row>
    <row r="906" spans="5:5" ht="14.4">
      <c r="E906" s="17"/>
    </row>
    <row r="907" spans="5:5" ht="14.4">
      <c r="E907" s="17"/>
    </row>
    <row r="908" spans="5:5" ht="14.4">
      <c r="E908" s="17"/>
    </row>
    <row r="909" spans="5:5" ht="14.4">
      <c r="E909" s="17"/>
    </row>
    <row r="910" spans="5:5" ht="14.4">
      <c r="E910" s="17"/>
    </row>
    <row r="911" spans="5:5" ht="14.4">
      <c r="E911" s="17"/>
    </row>
    <row r="912" spans="5:5" ht="14.4">
      <c r="E912" s="17"/>
    </row>
    <row r="913" spans="5:5" ht="14.4">
      <c r="E913" s="17"/>
    </row>
    <row r="914" spans="5:5" ht="14.4">
      <c r="E914" s="17"/>
    </row>
    <row r="915" spans="5:5" ht="14.4">
      <c r="E915" s="17"/>
    </row>
    <row r="916" spans="5:5" ht="14.4">
      <c r="E916" s="17"/>
    </row>
    <row r="917" spans="5:5" ht="14.4">
      <c r="E917" s="17"/>
    </row>
    <row r="918" spans="5:5" ht="14.4">
      <c r="E918" s="17"/>
    </row>
    <row r="919" spans="5:5" ht="14.4">
      <c r="E919" s="17"/>
    </row>
    <row r="920" spans="5:5" ht="14.4">
      <c r="E920" s="17"/>
    </row>
    <row r="921" spans="5:5" ht="14.4">
      <c r="E921" s="17"/>
    </row>
    <row r="922" spans="5:5" ht="14.4">
      <c r="E922" s="17"/>
    </row>
    <row r="923" spans="5:5" ht="14.4">
      <c r="E923" s="17"/>
    </row>
    <row r="924" spans="5:5" ht="14.4">
      <c r="E924" s="17"/>
    </row>
    <row r="925" spans="5:5" ht="14.4">
      <c r="E925" s="17"/>
    </row>
    <row r="926" spans="5:5" ht="14.4">
      <c r="E926" s="17"/>
    </row>
    <row r="927" spans="5:5" ht="14.4">
      <c r="E927" s="17"/>
    </row>
    <row r="928" spans="5:5" ht="14.4">
      <c r="E928" s="17"/>
    </row>
    <row r="929" spans="5:5" ht="14.4">
      <c r="E929" s="17"/>
    </row>
    <row r="930" spans="5:5" ht="14.4">
      <c r="E930" s="17"/>
    </row>
    <row r="931" spans="5:5" ht="14.4">
      <c r="E931" s="17"/>
    </row>
    <row r="932" spans="5:5" ht="14.4">
      <c r="E932" s="17"/>
    </row>
    <row r="933" spans="5:5" ht="14.4">
      <c r="E933" s="17"/>
    </row>
    <row r="934" spans="5:5" ht="14.4">
      <c r="E934" s="17"/>
    </row>
    <row r="935" spans="5:5" ht="14.4">
      <c r="E935" s="17"/>
    </row>
    <row r="936" spans="5:5" ht="14.4">
      <c r="E936" s="17"/>
    </row>
    <row r="937" spans="5:5" ht="14.4">
      <c r="E937" s="17"/>
    </row>
    <row r="938" spans="5:5" ht="14.4">
      <c r="E938" s="17"/>
    </row>
    <row r="939" spans="5:5" ht="14.4">
      <c r="E939" s="17"/>
    </row>
    <row r="940" spans="5:5" ht="14.4">
      <c r="E940" s="17"/>
    </row>
    <row r="941" spans="5:5" ht="14.4">
      <c r="E941" s="17"/>
    </row>
    <row r="942" spans="5:5" ht="14.4">
      <c r="E942" s="17"/>
    </row>
    <row r="943" spans="5:5" ht="14.4">
      <c r="E943" s="17"/>
    </row>
    <row r="944" spans="5:5" ht="14.4">
      <c r="E944" s="17"/>
    </row>
    <row r="945" spans="5:5" ht="14.4">
      <c r="E945" s="17"/>
    </row>
    <row r="946" spans="5:5" ht="14.4">
      <c r="E946" s="17"/>
    </row>
    <row r="947" spans="5:5" ht="14.4">
      <c r="E947" s="17"/>
    </row>
    <row r="948" spans="5:5" ht="14.4">
      <c r="E948" s="17"/>
    </row>
    <row r="949" spans="5:5" ht="14.4">
      <c r="E949" s="17"/>
    </row>
    <row r="950" spans="5:5" ht="14.4">
      <c r="E950" s="17"/>
    </row>
    <row r="951" spans="5:5" ht="14.4">
      <c r="E951" s="17"/>
    </row>
    <row r="952" spans="5:5" ht="14.4">
      <c r="E952" s="17"/>
    </row>
    <row r="953" spans="5:5" ht="14.4">
      <c r="E953" s="17"/>
    </row>
    <row r="954" spans="5:5" ht="14.4">
      <c r="E954" s="17"/>
    </row>
    <row r="955" spans="5:5" ht="14.4">
      <c r="E955" s="17"/>
    </row>
    <row r="956" spans="5:5" ht="14.4">
      <c r="E956" s="17"/>
    </row>
    <row r="957" spans="5:5" ht="14.4">
      <c r="E957" s="17"/>
    </row>
    <row r="958" spans="5:5" ht="14.4">
      <c r="E958" s="17"/>
    </row>
    <row r="959" spans="5:5" ht="14.4">
      <c r="E959" s="17"/>
    </row>
    <row r="960" spans="5:5" ht="14.4">
      <c r="E960" s="17"/>
    </row>
    <row r="961" spans="5:5" ht="14.4">
      <c r="E961" s="17"/>
    </row>
    <row r="962" spans="5:5" ht="14.4">
      <c r="E962" s="17"/>
    </row>
    <row r="963" spans="5:5" ht="14.4">
      <c r="E963" s="17"/>
    </row>
    <row r="964" spans="5:5" ht="14.4">
      <c r="E964" s="17"/>
    </row>
    <row r="965" spans="5:5" ht="14.4">
      <c r="E965" s="17"/>
    </row>
    <row r="966" spans="5:5" ht="14.4">
      <c r="E966" s="17"/>
    </row>
    <row r="967" spans="5:5" ht="14.4">
      <c r="E967" s="17"/>
    </row>
    <row r="968" spans="5:5" ht="14.4">
      <c r="E968" s="17"/>
    </row>
    <row r="969" spans="5:5" ht="14.4">
      <c r="E969" s="17"/>
    </row>
    <row r="970" spans="5:5" ht="14.4">
      <c r="E970" s="17"/>
    </row>
    <row r="971" spans="5:5" ht="14.4">
      <c r="E971" s="17"/>
    </row>
    <row r="972" spans="5:5" ht="14.4">
      <c r="E972" s="17"/>
    </row>
    <row r="973" spans="5:5" ht="14.4">
      <c r="E973" s="17"/>
    </row>
    <row r="974" spans="5:5" ht="14.4">
      <c r="E974" s="17"/>
    </row>
    <row r="975" spans="5:5" ht="14.4">
      <c r="E975" s="17"/>
    </row>
    <row r="976" spans="5:5" ht="14.4">
      <c r="E976" s="17"/>
    </row>
    <row r="977" spans="5:5" ht="14.4">
      <c r="E977" s="17"/>
    </row>
    <row r="978" spans="5:5" ht="14.4">
      <c r="E978" s="17"/>
    </row>
    <row r="979" spans="5:5" ht="14.4">
      <c r="E979" s="17"/>
    </row>
    <row r="980" spans="5:5" ht="14.4">
      <c r="E980" s="17"/>
    </row>
    <row r="981" spans="5:5" ht="14.4">
      <c r="E981" s="17"/>
    </row>
    <row r="982" spans="5:5" ht="14.4">
      <c r="E982" s="17"/>
    </row>
    <row r="983" spans="5:5" ht="14.4">
      <c r="E983" s="17"/>
    </row>
    <row r="984" spans="5:5" ht="14.4">
      <c r="E984" s="17"/>
    </row>
    <row r="985" spans="5:5" ht="14.4">
      <c r="E985" s="17"/>
    </row>
    <row r="986" spans="5:5" ht="14.4">
      <c r="E986" s="17"/>
    </row>
    <row r="987" spans="5:5" ht="14.4">
      <c r="E987" s="17"/>
    </row>
    <row r="988" spans="5:5" ht="14.4">
      <c r="E988" s="17"/>
    </row>
    <row r="989" spans="5:5" ht="14.4">
      <c r="E989" s="17"/>
    </row>
    <row r="990" spans="5:5" ht="14.4">
      <c r="E990" s="17"/>
    </row>
    <row r="991" spans="5:5" ht="14.4">
      <c r="E991" s="17"/>
    </row>
    <row r="992" spans="5:5" ht="14.4">
      <c r="E992" s="17"/>
    </row>
    <row r="993" spans="5:5" ht="14.4">
      <c r="E993" s="17"/>
    </row>
    <row r="994" spans="5:5" ht="14.4">
      <c r="E994" s="17"/>
    </row>
    <row r="995" spans="5:5" ht="14.4">
      <c r="E995" s="17"/>
    </row>
    <row r="996" spans="5:5" ht="14.4">
      <c r="E996" s="17"/>
    </row>
    <row r="997" spans="5:5" ht="14.4">
      <c r="E997" s="17"/>
    </row>
    <row r="998" spans="5:5" ht="14.4">
      <c r="E998" s="17"/>
    </row>
    <row r="999" spans="5:5" ht="14.4">
      <c r="E999" s="17"/>
    </row>
    <row r="1000" spans="5:5" ht="14.4">
      <c r="E1000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3.33203125" customWidth="1"/>
    <col min="2" max="2" width="28.6640625" customWidth="1"/>
    <col min="3" max="3" width="11.33203125" customWidth="1"/>
    <col min="4" max="4" width="15.109375" customWidth="1"/>
    <col min="6" max="6" width="13.44140625" customWidth="1"/>
    <col min="7" max="7" width="21.6640625" customWidth="1"/>
    <col min="8" max="8" width="14" customWidth="1"/>
    <col min="9" max="9" width="14.33203125" customWidth="1"/>
  </cols>
  <sheetData>
    <row r="1" spans="1:9" ht="22.5" customHeight="1">
      <c r="A1" s="1" t="s">
        <v>193</v>
      </c>
      <c r="B1" s="1" t="s">
        <v>194</v>
      </c>
      <c r="C1" s="1" t="s">
        <v>14</v>
      </c>
      <c r="D1" s="1" t="s">
        <v>195</v>
      </c>
      <c r="E1" s="1" t="s">
        <v>196</v>
      </c>
      <c r="F1" s="2" t="s">
        <v>197</v>
      </c>
      <c r="G1" s="2" t="s">
        <v>198</v>
      </c>
      <c r="H1" s="2" t="s">
        <v>199</v>
      </c>
      <c r="I1" s="2" t="s">
        <v>21</v>
      </c>
    </row>
    <row r="2" spans="1:9" ht="22.5" customHeight="1">
      <c r="A2" s="1">
        <v>1</v>
      </c>
      <c r="B2" s="6" t="s">
        <v>25</v>
      </c>
      <c r="C2" s="64">
        <v>46205</v>
      </c>
      <c r="D2" s="6" t="s">
        <v>12</v>
      </c>
      <c r="E2" s="6" t="s">
        <v>168</v>
      </c>
      <c r="F2" s="6">
        <v>120000</v>
      </c>
      <c r="G2" s="6">
        <v>6</v>
      </c>
      <c r="H2" s="6">
        <v>0</v>
      </c>
    </row>
    <row r="3" spans="1:9" ht="22.5" customHeight="1">
      <c r="A3" s="1">
        <v>2</v>
      </c>
      <c r="B3" s="6" t="s">
        <v>201</v>
      </c>
      <c r="C3" s="65">
        <v>46214</v>
      </c>
      <c r="D3" s="6" t="s">
        <v>202</v>
      </c>
      <c r="E3" s="6" t="s">
        <v>168</v>
      </c>
      <c r="F3" s="6">
        <v>40000</v>
      </c>
      <c r="G3" s="6">
        <v>2</v>
      </c>
      <c r="H3" s="6">
        <v>0</v>
      </c>
    </row>
    <row r="4" spans="1:9" ht="22.5" customHeight="1">
      <c r="A4" s="1">
        <v>3</v>
      </c>
      <c r="B4" s="6" t="s">
        <v>203</v>
      </c>
      <c r="C4" s="17"/>
      <c r="D4" s="6" t="s">
        <v>204</v>
      </c>
      <c r="E4" s="6" t="s">
        <v>168</v>
      </c>
      <c r="F4" s="6">
        <v>0</v>
      </c>
      <c r="G4" s="6">
        <v>1</v>
      </c>
      <c r="H4" s="6">
        <v>21000</v>
      </c>
    </row>
    <row r="5" spans="1:9" ht="22.5" customHeight="1">
      <c r="A5" s="1">
        <v>4</v>
      </c>
      <c r="B5" s="6" t="s">
        <v>205</v>
      </c>
      <c r="C5" s="64">
        <v>46223</v>
      </c>
      <c r="D5" s="6" t="s">
        <v>8</v>
      </c>
      <c r="E5" s="6" t="s">
        <v>138</v>
      </c>
      <c r="F5" s="6">
        <v>20000</v>
      </c>
      <c r="G5" s="6">
        <v>1</v>
      </c>
      <c r="H5" s="6"/>
    </row>
    <row r="6" spans="1:9" ht="22.5" customHeight="1">
      <c r="A6" s="1">
        <v>5</v>
      </c>
      <c r="B6" s="6" t="s">
        <v>208</v>
      </c>
      <c r="C6" s="17"/>
      <c r="D6" s="6" t="s">
        <v>63</v>
      </c>
      <c r="E6" s="6" t="s">
        <v>138</v>
      </c>
      <c r="F6" s="6">
        <v>9000</v>
      </c>
      <c r="G6" s="6">
        <v>1</v>
      </c>
      <c r="H6" s="6" t="s">
        <v>210</v>
      </c>
    </row>
    <row r="7" spans="1:9" ht="22.5" customHeight="1">
      <c r="A7" s="1">
        <v>6</v>
      </c>
      <c r="B7" s="6" t="s">
        <v>211</v>
      </c>
      <c r="C7" s="1" t="s">
        <v>212</v>
      </c>
      <c r="D7" s="6" t="s">
        <v>204</v>
      </c>
      <c r="E7" s="6" t="s">
        <v>138</v>
      </c>
      <c r="F7" s="6">
        <v>19000</v>
      </c>
      <c r="G7" s="6">
        <v>1</v>
      </c>
      <c r="H7" s="6">
        <v>0</v>
      </c>
    </row>
    <row r="8" spans="1:9" ht="22.5" customHeight="1">
      <c r="A8" s="1">
        <v>7</v>
      </c>
      <c r="B8" s="6" t="s">
        <v>213</v>
      </c>
      <c r="C8" s="17"/>
      <c r="D8" s="6" t="s">
        <v>12</v>
      </c>
      <c r="E8" s="6" t="s">
        <v>168</v>
      </c>
      <c r="F8" s="6">
        <v>0</v>
      </c>
      <c r="G8" s="6">
        <v>2</v>
      </c>
      <c r="H8" s="6">
        <v>36000</v>
      </c>
    </row>
    <row r="9" spans="1:9" ht="22.5" customHeight="1">
      <c r="A9" s="1">
        <v>8</v>
      </c>
      <c r="B9" s="6" t="s">
        <v>216</v>
      </c>
      <c r="C9" s="17"/>
      <c r="D9" s="6" t="s">
        <v>217</v>
      </c>
      <c r="E9" s="21"/>
      <c r="F9" s="6">
        <v>0</v>
      </c>
      <c r="G9" s="6">
        <v>1</v>
      </c>
      <c r="H9" s="6">
        <v>23000</v>
      </c>
    </row>
    <row r="10" spans="1:9" ht="22.5" customHeight="1">
      <c r="A10" s="1">
        <v>9</v>
      </c>
      <c r="B10" s="6" t="s">
        <v>218</v>
      </c>
      <c r="C10" s="1" t="s">
        <v>219</v>
      </c>
      <c r="D10" s="6" t="s">
        <v>8</v>
      </c>
      <c r="E10" s="6" t="s">
        <v>138</v>
      </c>
      <c r="F10" s="6">
        <v>45480</v>
      </c>
      <c r="G10" s="6">
        <v>3</v>
      </c>
      <c r="H10" s="6">
        <v>0</v>
      </c>
    </row>
    <row r="11" spans="1:9" ht="22.5" customHeight="1">
      <c r="A11" s="1">
        <v>10</v>
      </c>
      <c r="B11" s="6" t="s">
        <v>222</v>
      </c>
      <c r="C11" s="1" t="s">
        <v>223</v>
      </c>
      <c r="D11" s="6" t="s">
        <v>204</v>
      </c>
      <c r="E11" s="6" t="s">
        <v>168</v>
      </c>
      <c r="F11" s="6">
        <v>22000</v>
      </c>
      <c r="G11" s="6">
        <v>1</v>
      </c>
      <c r="H11" s="6">
        <v>0</v>
      </c>
    </row>
    <row r="12" spans="1:9" ht="22.5" customHeight="1">
      <c r="A12" s="1">
        <v>11</v>
      </c>
      <c r="B12" s="6" t="s">
        <v>224</v>
      </c>
      <c r="C12" s="1" t="s">
        <v>226</v>
      </c>
      <c r="D12" s="6" t="s">
        <v>227</v>
      </c>
      <c r="E12" s="6" t="s">
        <v>168</v>
      </c>
      <c r="F12" s="6">
        <v>23000</v>
      </c>
      <c r="G12" s="6">
        <v>1</v>
      </c>
      <c r="H12" s="6">
        <v>0</v>
      </c>
    </row>
    <row r="13" spans="1:9" ht="22.5" customHeight="1">
      <c r="A13" s="1">
        <v>12</v>
      </c>
      <c r="B13" s="6" t="s">
        <v>231</v>
      </c>
      <c r="C13" s="65">
        <v>46208</v>
      </c>
      <c r="D13" s="6" t="s">
        <v>87</v>
      </c>
      <c r="E13" s="6" t="s">
        <v>168</v>
      </c>
      <c r="F13" s="6">
        <v>42950</v>
      </c>
      <c r="G13" s="6">
        <v>2</v>
      </c>
      <c r="H13" s="6">
        <v>0</v>
      </c>
    </row>
    <row r="14" spans="1:9" ht="22.5" customHeight="1">
      <c r="A14" s="1">
        <v>13</v>
      </c>
      <c r="B14" s="6" t="s">
        <v>236</v>
      </c>
      <c r="C14" s="1" t="s">
        <v>237</v>
      </c>
      <c r="D14" s="6" t="s">
        <v>190</v>
      </c>
      <c r="E14" s="6" t="s">
        <v>168</v>
      </c>
      <c r="F14" s="6">
        <v>23000</v>
      </c>
      <c r="G14" s="6">
        <v>1</v>
      </c>
      <c r="H14" s="6">
        <v>0</v>
      </c>
    </row>
    <row r="15" spans="1:9" ht="22.5" customHeight="1">
      <c r="A15" s="1">
        <v>14</v>
      </c>
      <c r="B15" s="6" t="s">
        <v>241</v>
      </c>
      <c r="C15" s="1" t="s">
        <v>242</v>
      </c>
      <c r="D15" s="6" t="s">
        <v>7</v>
      </c>
      <c r="E15" s="6" t="s">
        <v>168</v>
      </c>
      <c r="F15" s="6">
        <v>19801</v>
      </c>
      <c r="G15" s="6">
        <v>1</v>
      </c>
      <c r="H15" s="6">
        <v>0</v>
      </c>
    </row>
    <row r="16" spans="1:9" ht="22.5" customHeight="1">
      <c r="A16" s="1">
        <v>15</v>
      </c>
      <c r="B16" s="6" t="s">
        <v>246</v>
      </c>
      <c r="C16" s="65">
        <v>46220</v>
      </c>
      <c r="D16" s="6" t="s">
        <v>7</v>
      </c>
      <c r="E16" s="6" t="s">
        <v>168</v>
      </c>
      <c r="F16" s="6">
        <v>21267</v>
      </c>
      <c r="G16" s="6">
        <v>1</v>
      </c>
      <c r="H16" s="6">
        <v>0</v>
      </c>
    </row>
    <row r="17" spans="1:8" ht="22.5" customHeight="1">
      <c r="A17" s="1">
        <v>16</v>
      </c>
      <c r="B17" s="6" t="s">
        <v>247</v>
      </c>
      <c r="C17" s="65">
        <v>46220</v>
      </c>
      <c r="D17" s="6" t="s">
        <v>7</v>
      </c>
      <c r="E17" s="6" t="s">
        <v>168</v>
      </c>
      <c r="F17" s="6">
        <v>22234</v>
      </c>
      <c r="G17" s="6">
        <v>1</v>
      </c>
      <c r="H17" s="6">
        <v>0</v>
      </c>
    </row>
    <row r="18" spans="1:8" ht="22.5" customHeight="1">
      <c r="A18" s="1">
        <v>17</v>
      </c>
      <c r="B18" s="6" t="s">
        <v>248</v>
      </c>
      <c r="C18" s="65">
        <v>46220</v>
      </c>
      <c r="D18" s="6" t="s">
        <v>249</v>
      </c>
      <c r="E18" s="6" t="s">
        <v>168</v>
      </c>
      <c r="F18" s="6">
        <v>44717</v>
      </c>
      <c r="G18" s="6">
        <v>2</v>
      </c>
      <c r="H18" s="6">
        <v>0</v>
      </c>
    </row>
    <row r="19" spans="1:8" ht="22.5" customHeight="1">
      <c r="A19" s="1">
        <v>18</v>
      </c>
      <c r="B19" s="6" t="s">
        <v>252</v>
      </c>
      <c r="C19" s="17"/>
      <c r="D19" s="6" t="s">
        <v>101</v>
      </c>
      <c r="E19" s="6" t="s">
        <v>168</v>
      </c>
      <c r="F19" s="6">
        <v>22000</v>
      </c>
      <c r="G19" s="6">
        <v>1</v>
      </c>
      <c r="H19" s="6">
        <v>0</v>
      </c>
    </row>
    <row r="20" spans="1:8" ht="22.5" customHeight="1">
      <c r="A20" s="1">
        <v>19</v>
      </c>
      <c r="B20" s="6" t="s">
        <v>253</v>
      </c>
      <c r="C20" s="17"/>
      <c r="D20" s="6" t="s">
        <v>103</v>
      </c>
      <c r="E20" s="6" t="s">
        <v>168</v>
      </c>
      <c r="F20" s="6">
        <v>22000</v>
      </c>
      <c r="G20" s="6">
        <v>1</v>
      </c>
      <c r="H20" s="6">
        <v>0</v>
      </c>
    </row>
    <row r="21" spans="1:8" ht="22.5" customHeight="1">
      <c r="A21" s="1">
        <v>20</v>
      </c>
      <c r="B21" s="6" t="s">
        <v>105</v>
      </c>
      <c r="C21" s="17"/>
      <c r="D21" s="6" t="s">
        <v>4</v>
      </c>
      <c r="E21" s="6" t="s">
        <v>138</v>
      </c>
      <c r="F21" s="6">
        <v>68620</v>
      </c>
      <c r="G21" s="6">
        <v>3</v>
      </c>
      <c r="H21" s="6">
        <v>0</v>
      </c>
    </row>
    <row r="22" spans="1:8" ht="22.5" customHeight="1">
      <c r="A22" s="1">
        <v>21</v>
      </c>
      <c r="B22" s="6" t="s">
        <v>254</v>
      </c>
      <c r="C22" s="1" t="s">
        <v>255</v>
      </c>
      <c r="D22" s="6" t="s">
        <v>4</v>
      </c>
      <c r="E22" s="6" t="s">
        <v>168</v>
      </c>
      <c r="F22" s="6">
        <v>37800</v>
      </c>
      <c r="G22" s="6">
        <v>2</v>
      </c>
      <c r="H22" s="6">
        <v>0</v>
      </c>
    </row>
    <row r="23" spans="1:8" ht="22.5" customHeight="1">
      <c r="A23" s="1">
        <v>22</v>
      </c>
      <c r="B23" s="6" t="s">
        <v>257</v>
      </c>
      <c r="C23" s="1" t="s">
        <v>212</v>
      </c>
      <c r="D23" s="6" t="s">
        <v>4</v>
      </c>
      <c r="E23" s="6" t="s">
        <v>168</v>
      </c>
      <c r="F23" s="6">
        <v>58266</v>
      </c>
      <c r="G23" s="6">
        <v>3</v>
      </c>
      <c r="H23" s="6">
        <v>0</v>
      </c>
    </row>
    <row r="24" spans="1:8" ht="22.5" customHeight="1">
      <c r="A24" s="1">
        <v>23</v>
      </c>
      <c r="B24" s="6" t="s">
        <v>113</v>
      </c>
      <c r="C24" s="1" t="s">
        <v>258</v>
      </c>
      <c r="D24" s="6" t="s">
        <v>115</v>
      </c>
      <c r="E24" s="6" t="s">
        <v>138</v>
      </c>
      <c r="F24" s="6">
        <v>43270</v>
      </c>
      <c r="G24" s="6">
        <v>2</v>
      </c>
      <c r="H24" s="6">
        <v>0</v>
      </c>
    </row>
    <row r="25" spans="1:8" ht="22.5" customHeight="1">
      <c r="A25" s="1">
        <v>24</v>
      </c>
      <c r="B25" s="6" t="s">
        <v>117</v>
      </c>
      <c r="C25" s="1" t="s">
        <v>258</v>
      </c>
      <c r="D25" s="6" t="s">
        <v>116</v>
      </c>
      <c r="E25" s="6" t="s">
        <v>138</v>
      </c>
      <c r="F25" s="6">
        <v>19000</v>
      </c>
      <c r="G25" s="6">
        <v>1</v>
      </c>
      <c r="H25" s="6">
        <v>0</v>
      </c>
    </row>
    <row r="26" spans="1:8" ht="22.5" customHeight="1">
      <c r="A26" s="1">
        <v>25</v>
      </c>
      <c r="B26" s="6" t="s">
        <v>119</v>
      </c>
      <c r="C26" s="17"/>
      <c r="D26" s="6" t="s">
        <v>185</v>
      </c>
      <c r="E26" s="6" t="s">
        <v>168</v>
      </c>
      <c r="F26" s="6">
        <v>34000</v>
      </c>
      <c r="G26" s="6">
        <v>2</v>
      </c>
      <c r="H26" s="6">
        <v>2000</v>
      </c>
    </row>
    <row r="27" spans="1:8" ht="22.5" customHeight="1">
      <c r="A27" s="1">
        <v>26</v>
      </c>
      <c r="B27" s="6" t="s">
        <v>260</v>
      </c>
      <c r="C27" s="1" t="s">
        <v>258</v>
      </c>
      <c r="D27" s="6" t="s">
        <v>5</v>
      </c>
      <c r="E27" s="6" t="s">
        <v>138</v>
      </c>
      <c r="F27" s="6">
        <v>18200</v>
      </c>
      <c r="G27" s="6">
        <v>1</v>
      </c>
      <c r="H27" s="6">
        <v>0</v>
      </c>
    </row>
    <row r="28" spans="1:8" ht="22.5" customHeight="1">
      <c r="A28" s="1">
        <v>27</v>
      </c>
      <c r="B28" s="6" t="s">
        <v>262</v>
      </c>
      <c r="C28" s="1" t="s">
        <v>258</v>
      </c>
      <c r="D28" s="6" t="s">
        <v>124</v>
      </c>
      <c r="E28" s="6" t="s">
        <v>138</v>
      </c>
      <c r="F28" s="6">
        <v>20700</v>
      </c>
      <c r="G28" s="6">
        <v>1</v>
      </c>
      <c r="H28" s="6">
        <v>0</v>
      </c>
    </row>
    <row r="29" spans="1:8" ht="22.5" customHeight="1">
      <c r="A29" s="1">
        <v>28</v>
      </c>
      <c r="B29" s="6" t="s">
        <v>265</v>
      </c>
      <c r="C29" s="17"/>
      <c r="D29" s="6" t="s">
        <v>13</v>
      </c>
      <c r="E29" s="6" t="s">
        <v>168</v>
      </c>
      <c r="F29" s="6">
        <v>0</v>
      </c>
      <c r="G29" s="6">
        <v>2</v>
      </c>
      <c r="H29" s="6">
        <v>42000</v>
      </c>
    </row>
    <row r="30" spans="1:8" ht="22.5" customHeight="1">
      <c r="A30" s="1">
        <v>29</v>
      </c>
      <c r="B30" s="6" t="s">
        <v>266</v>
      </c>
      <c r="C30" s="17"/>
      <c r="D30" s="6" t="s">
        <v>267</v>
      </c>
      <c r="E30" s="6" t="s">
        <v>138</v>
      </c>
      <c r="F30" s="6">
        <v>21200</v>
      </c>
      <c r="G30" s="6">
        <v>2</v>
      </c>
      <c r="H30" s="6">
        <v>0</v>
      </c>
    </row>
    <row r="31" spans="1:8" ht="22.5" customHeight="1">
      <c r="A31" s="1">
        <v>30</v>
      </c>
      <c r="B31" s="6" t="s">
        <v>268</v>
      </c>
      <c r="C31" s="1" t="s">
        <v>269</v>
      </c>
      <c r="D31" s="6" t="s">
        <v>155</v>
      </c>
      <c r="E31" s="6" t="s">
        <v>168</v>
      </c>
      <c r="F31" s="6">
        <v>57930</v>
      </c>
      <c r="G31" s="6">
        <v>3</v>
      </c>
      <c r="H31" s="6">
        <v>0</v>
      </c>
    </row>
    <row r="32" spans="1:8" ht="22.5" customHeight="1">
      <c r="A32" s="1">
        <v>31</v>
      </c>
      <c r="B32" s="6" t="s">
        <v>271</v>
      </c>
      <c r="C32" s="1" t="s">
        <v>269</v>
      </c>
      <c r="D32" s="6" t="s">
        <v>185</v>
      </c>
      <c r="E32" s="6" t="s">
        <v>168</v>
      </c>
      <c r="F32" s="6">
        <v>34000</v>
      </c>
      <c r="G32" s="6">
        <v>2</v>
      </c>
      <c r="H32" s="6">
        <v>0</v>
      </c>
    </row>
    <row r="33" spans="1:15" ht="22.5" customHeight="1">
      <c r="A33" s="1">
        <v>32</v>
      </c>
      <c r="B33" s="6" t="s">
        <v>137</v>
      </c>
      <c r="C33" s="65">
        <v>46217</v>
      </c>
      <c r="D33" s="6" t="s">
        <v>5</v>
      </c>
      <c r="E33" s="6" t="s">
        <v>168</v>
      </c>
      <c r="F33" s="6">
        <v>22000</v>
      </c>
      <c r="G33" s="6">
        <v>1</v>
      </c>
      <c r="H33" s="6">
        <v>0</v>
      </c>
    </row>
    <row r="34" spans="1:15" ht="22.5" customHeight="1">
      <c r="A34" s="1">
        <v>33</v>
      </c>
      <c r="B34" s="6" t="s">
        <v>139</v>
      </c>
      <c r="C34" s="17"/>
      <c r="D34" s="6" t="s">
        <v>5</v>
      </c>
      <c r="E34" s="6" t="s">
        <v>138</v>
      </c>
      <c r="F34" s="6">
        <v>22000</v>
      </c>
      <c r="G34" s="6">
        <v>1</v>
      </c>
      <c r="H34" s="6">
        <v>0</v>
      </c>
    </row>
    <row r="35" spans="1:15" ht="22.5" customHeight="1">
      <c r="A35" s="1">
        <v>34</v>
      </c>
      <c r="B35" s="6" t="s">
        <v>274</v>
      </c>
      <c r="C35" s="17"/>
      <c r="D35" s="6" t="s">
        <v>204</v>
      </c>
      <c r="E35" s="6" t="s">
        <v>168</v>
      </c>
      <c r="F35" s="6">
        <v>82011</v>
      </c>
      <c r="G35" s="6">
        <v>5</v>
      </c>
      <c r="H35" s="6">
        <v>0</v>
      </c>
    </row>
    <row r="36" spans="1:15" ht="22.5" customHeight="1">
      <c r="A36" s="1">
        <v>35</v>
      </c>
      <c r="B36" s="6" t="s">
        <v>275</v>
      </c>
      <c r="C36" s="1" t="s">
        <v>219</v>
      </c>
      <c r="D36" s="6" t="s">
        <v>5</v>
      </c>
      <c r="E36" s="6" t="s">
        <v>168</v>
      </c>
      <c r="F36" s="6">
        <v>8500</v>
      </c>
      <c r="G36" s="6">
        <v>1</v>
      </c>
      <c r="H36" s="6">
        <v>0</v>
      </c>
    </row>
    <row r="37" spans="1:15" ht="22.5" customHeight="1">
      <c r="A37" s="1">
        <v>36</v>
      </c>
      <c r="B37" s="6" t="s">
        <v>277</v>
      </c>
      <c r="C37" s="1" t="s">
        <v>237</v>
      </c>
      <c r="D37" s="6" t="s">
        <v>4</v>
      </c>
      <c r="E37" s="6" t="s">
        <v>168</v>
      </c>
      <c r="F37" s="6">
        <v>10000</v>
      </c>
      <c r="G37" s="6">
        <v>1</v>
      </c>
    </row>
    <row r="38" spans="1:15" ht="22.5" customHeight="1">
      <c r="A38" s="1"/>
      <c r="B38" s="6" t="s">
        <v>172</v>
      </c>
      <c r="C38" s="17"/>
      <c r="D38" s="6"/>
      <c r="E38" s="6"/>
      <c r="F38" s="6">
        <f t="shared" ref="F38:H38" si="0">SUM(F2:F37)</f>
        <v>1073946</v>
      </c>
      <c r="G38" s="6">
        <f t="shared" si="0"/>
        <v>63</v>
      </c>
      <c r="H38" s="6">
        <f t="shared" si="0"/>
        <v>124000</v>
      </c>
      <c r="I38" s="6"/>
      <c r="O38" s="6">
        <v>124000</v>
      </c>
    </row>
    <row r="39" spans="1:15" ht="22.5" customHeight="1">
      <c r="A39" s="1"/>
      <c r="B39" s="6" t="s">
        <v>279</v>
      </c>
      <c r="C39" s="17"/>
      <c r="F39" s="6">
        <v>956200</v>
      </c>
    </row>
    <row r="40" spans="1:15" ht="22.5" customHeight="1">
      <c r="A40" s="1"/>
      <c r="B40" s="6" t="s">
        <v>280</v>
      </c>
      <c r="C40" s="17"/>
      <c r="E40" s="6"/>
      <c r="F40" s="6">
        <f>F38-F39</f>
        <v>117746</v>
      </c>
      <c r="O40" s="6">
        <v>1073999</v>
      </c>
    </row>
    <row r="41" spans="1:15" ht="14.4">
      <c r="B41" s="6"/>
      <c r="C41" s="6"/>
      <c r="E41" s="6"/>
    </row>
    <row r="42" spans="1:15" ht="14.4">
      <c r="A42" s="6"/>
      <c r="B42" s="6"/>
      <c r="E42" s="6"/>
      <c r="F42" s="6"/>
      <c r="H42" s="6"/>
      <c r="O42" s="21">
        <v>117799</v>
      </c>
    </row>
    <row r="43" spans="1:15" ht="14.4">
      <c r="A43" s="6"/>
      <c r="B43" s="6"/>
      <c r="D43" s="6"/>
      <c r="E43" s="6"/>
      <c r="F43" s="6"/>
    </row>
    <row r="44" spans="1:15" ht="14.4">
      <c r="A44" s="6"/>
      <c r="B44" s="6" t="s">
        <v>282</v>
      </c>
      <c r="E44" s="6"/>
      <c r="F44" s="6"/>
      <c r="H44" s="6"/>
    </row>
    <row r="45" spans="1:15" ht="14.4">
      <c r="A45" s="6"/>
      <c r="B45" s="6"/>
      <c r="D45" s="6"/>
      <c r="E45" s="6"/>
      <c r="F45" s="6"/>
      <c r="G45" s="6"/>
    </row>
    <row r="46" spans="1:15" ht="14.4">
      <c r="A46" s="6"/>
      <c r="B46" s="6"/>
      <c r="E46" s="6"/>
      <c r="F46" s="6"/>
    </row>
    <row r="50" spans="1:5" ht="14.4">
      <c r="B50" s="6" t="s">
        <v>283</v>
      </c>
    </row>
    <row r="52" spans="1:5" ht="14.4">
      <c r="A52" s="66">
        <v>46183</v>
      </c>
      <c r="B52" s="6" t="s">
        <v>284</v>
      </c>
      <c r="E52" s="6">
        <v>50000</v>
      </c>
    </row>
    <row r="53" spans="1:5" ht="14.4">
      <c r="B53" s="6" t="s">
        <v>285</v>
      </c>
      <c r="D53" s="6">
        <v>27500</v>
      </c>
    </row>
    <row r="54" spans="1:5" ht="14.4">
      <c r="B54" s="6" t="s">
        <v>286</v>
      </c>
      <c r="D54" s="6">
        <v>12500</v>
      </c>
      <c r="E54" s="6"/>
    </row>
    <row r="55" spans="1:5" ht="14.4">
      <c r="B55" s="6" t="s">
        <v>287</v>
      </c>
      <c r="D55" s="6">
        <v>10000</v>
      </c>
    </row>
    <row r="56" spans="1:5" ht="14.4">
      <c r="A56" s="66">
        <v>46196</v>
      </c>
      <c r="B56" s="6" t="s">
        <v>284</v>
      </c>
      <c r="D56" s="6"/>
      <c r="E56" s="6">
        <v>25000</v>
      </c>
    </row>
    <row r="57" spans="1:5" ht="14.4">
      <c r="B57" s="6" t="s">
        <v>288</v>
      </c>
      <c r="D57" s="6">
        <v>10000</v>
      </c>
    </row>
    <row r="58" spans="1:5" ht="14.4">
      <c r="B58" s="6" t="s">
        <v>289</v>
      </c>
      <c r="D58" s="6">
        <v>4000</v>
      </c>
    </row>
    <row r="59" spans="1:5" ht="14.4">
      <c r="B59" s="6" t="s">
        <v>290</v>
      </c>
      <c r="D59" s="6">
        <v>11000</v>
      </c>
    </row>
    <row r="60" spans="1:5" ht="14.4">
      <c r="B60" s="6" t="s">
        <v>291</v>
      </c>
      <c r="D60" s="67">
        <v>75000</v>
      </c>
      <c r="E60" s="67">
        <v>75000</v>
      </c>
    </row>
    <row r="61" spans="1:5" ht="14.4">
      <c r="A61" s="66"/>
      <c r="B61" s="6"/>
    </row>
    <row r="62" spans="1:5" ht="14.4">
      <c r="A62" s="66">
        <v>46228</v>
      </c>
      <c r="B62" s="6" t="s">
        <v>292</v>
      </c>
      <c r="C62" s="6" t="s">
        <v>293</v>
      </c>
      <c r="D62" s="6">
        <v>64000</v>
      </c>
    </row>
    <row r="63" spans="1:5" ht="14.4">
      <c r="B63" s="6" t="s">
        <v>294</v>
      </c>
      <c r="D63" s="6">
        <v>11000</v>
      </c>
    </row>
    <row r="64" spans="1:5" ht="14.4">
      <c r="D64" s="6"/>
    </row>
  </sheetData>
  <dataValidations count="1">
    <dataValidation type="list" allowBlank="1" showErrorMessage="1" sqref="E2:E11" xr:uid="{00000000-0002-0000-0400-000000000000}">
      <formula1>"BANK,CASH"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32"/>
  <sheetViews>
    <sheetView workbookViewId="0"/>
  </sheetViews>
  <sheetFormatPr defaultColWidth="12.6640625" defaultRowHeight="15" customHeight="1"/>
  <sheetData>
    <row r="1" spans="1:17">
      <c r="A1" s="6" t="s">
        <v>229</v>
      </c>
      <c r="B1" s="1" t="s">
        <v>4</v>
      </c>
      <c r="C1" s="1" t="s">
        <v>5</v>
      </c>
      <c r="D1" s="6" t="s">
        <v>6</v>
      </c>
      <c r="E1" s="6" t="s">
        <v>7</v>
      </c>
      <c r="F1" s="6" t="s">
        <v>232</v>
      </c>
      <c r="G1" s="6" t="s">
        <v>233</v>
      </c>
      <c r="H1" s="6" t="s">
        <v>234</v>
      </c>
      <c r="I1" s="6" t="s">
        <v>8</v>
      </c>
      <c r="J1" s="6" t="s">
        <v>235</v>
      </c>
      <c r="K1" s="6"/>
      <c r="L1" s="6"/>
      <c r="M1" s="6"/>
      <c r="N1" s="6"/>
      <c r="O1" s="6"/>
      <c r="P1" s="6"/>
      <c r="Q1" s="6"/>
    </row>
    <row r="2" spans="1:17">
      <c r="A2" s="6">
        <v>1</v>
      </c>
      <c r="B2" s="6">
        <v>44</v>
      </c>
      <c r="E2" s="6">
        <v>235</v>
      </c>
      <c r="F2" s="6">
        <v>475</v>
      </c>
      <c r="G2" s="6">
        <v>1500</v>
      </c>
      <c r="H2" s="6">
        <v>0</v>
      </c>
      <c r="I2" s="6">
        <v>0</v>
      </c>
      <c r="J2" s="6">
        <v>0</v>
      </c>
      <c r="K2" s="6"/>
      <c r="L2" s="6"/>
      <c r="M2" s="6"/>
      <c r="N2" s="6"/>
      <c r="O2" s="6"/>
      <c r="P2" s="6"/>
      <c r="Q2" s="6"/>
    </row>
    <row r="3" spans="1:17">
      <c r="A3" s="6">
        <v>2</v>
      </c>
      <c r="B3" s="6">
        <v>0</v>
      </c>
      <c r="E3" s="6">
        <v>85</v>
      </c>
      <c r="F3" s="6">
        <v>240</v>
      </c>
      <c r="G3" s="6">
        <v>7000</v>
      </c>
      <c r="H3" s="6">
        <v>0</v>
      </c>
      <c r="I3" s="6">
        <v>0</v>
      </c>
      <c r="J3" s="6"/>
      <c r="K3" s="6"/>
      <c r="L3" s="6"/>
      <c r="M3" s="6"/>
      <c r="N3" s="6"/>
      <c r="O3" s="6"/>
      <c r="P3" s="6"/>
      <c r="Q3" s="6"/>
    </row>
    <row r="4" spans="1:17">
      <c r="A4" s="6">
        <v>3</v>
      </c>
      <c r="B4" s="6">
        <v>43</v>
      </c>
      <c r="E4" s="6">
        <v>77</v>
      </c>
      <c r="F4" s="6">
        <v>150</v>
      </c>
      <c r="G4" s="6">
        <v>2000</v>
      </c>
      <c r="H4" s="6">
        <v>0</v>
      </c>
      <c r="I4" s="6">
        <v>0</v>
      </c>
      <c r="J4" s="6">
        <v>0</v>
      </c>
      <c r="K4" s="6"/>
      <c r="L4" s="6"/>
      <c r="M4" s="6"/>
      <c r="N4" s="6"/>
      <c r="O4" s="6"/>
      <c r="P4" s="6"/>
      <c r="Q4" s="6"/>
    </row>
    <row r="5" spans="1:17">
      <c r="A5" s="6">
        <v>4</v>
      </c>
      <c r="B5" s="6">
        <v>40</v>
      </c>
      <c r="E5" s="6">
        <v>0</v>
      </c>
      <c r="F5" s="6">
        <v>250</v>
      </c>
      <c r="G5" s="6">
        <v>300</v>
      </c>
      <c r="H5" s="6">
        <v>0</v>
      </c>
      <c r="I5" s="6">
        <v>0</v>
      </c>
      <c r="J5" s="6">
        <v>0</v>
      </c>
      <c r="K5" s="6"/>
      <c r="L5" s="6"/>
      <c r="M5" s="6"/>
      <c r="N5" s="6"/>
      <c r="O5" s="6"/>
      <c r="P5" s="6"/>
      <c r="Q5" s="6"/>
    </row>
    <row r="6" spans="1:17">
      <c r="A6" s="6">
        <v>5</v>
      </c>
      <c r="B6" s="6">
        <v>15</v>
      </c>
      <c r="E6" s="6">
        <v>0</v>
      </c>
      <c r="F6" s="6">
        <v>0</v>
      </c>
      <c r="G6" s="6">
        <v>900</v>
      </c>
      <c r="H6" s="6">
        <v>0</v>
      </c>
      <c r="I6" s="6">
        <v>0</v>
      </c>
      <c r="J6" s="6"/>
      <c r="K6" s="6"/>
      <c r="L6" s="6"/>
      <c r="M6" s="6"/>
      <c r="N6" s="6"/>
      <c r="O6" s="6"/>
      <c r="P6" s="6"/>
      <c r="Q6" s="6"/>
    </row>
    <row r="7" spans="1:17">
      <c r="A7" s="6">
        <v>6</v>
      </c>
      <c r="B7" s="6">
        <v>44</v>
      </c>
      <c r="E7" s="6">
        <v>85</v>
      </c>
      <c r="F7" s="6">
        <v>0</v>
      </c>
      <c r="G7" s="6">
        <v>150</v>
      </c>
      <c r="H7" s="6">
        <v>0</v>
      </c>
      <c r="I7" s="6">
        <v>0</v>
      </c>
      <c r="J7" s="6"/>
      <c r="K7" s="6"/>
      <c r="L7" s="6"/>
      <c r="M7" s="6"/>
      <c r="N7" s="6"/>
      <c r="O7" s="6"/>
      <c r="P7" s="6"/>
      <c r="Q7" s="6"/>
    </row>
    <row r="8" spans="1:17">
      <c r="A8" s="6">
        <v>7</v>
      </c>
      <c r="B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/>
      <c r="K8" s="6"/>
      <c r="L8" s="6"/>
      <c r="M8" s="6"/>
      <c r="N8" s="6"/>
      <c r="O8" s="6"/>
      <c r="P8" s="6"/>
      <c r="Q8" s="6"/>
    </row>
    <row r="9" spans="1:17">
      <c r="A9" s="6">
        <v>8</v>
      </c>
      <c r="B9" s="6">
        <v>60</v>
      </c>
      <c r="E9" s="6">
        <v>0</v>
      </c>
      <c r="F9" s="6">
        <v>300</v>
      </c>
      <c r="G9" s="6">
        <v>300</v>
      </c>
      <c r="H9" s="6">
        <v>0</v>
      </c>
      <c r="I9" s="6">
        <v>0</v>
      </c>
      <c r="J9" s="6">
        <v>3401</v>
      </c>
      <c r="K9" s="6"/>
      <c r="L9" s="6"/>
      <c r="M9" s="6"/>
      <c r="N9" s="6"/>
      <c r="O9" s="6"/>
      <c r="P9" s="6"/>
      <c r="Q9" s="6"/>
    </row>
    <row r="10" spans="1:17">
      <c r="A10" s="6">
        <v>9</v>
      </c>
      <c r="B10" s="6">
        <v>50</v>
      </c>
      <c r="E10" s="6">
        <v>15</v>
      </c>
      <c r="F10" s="6">
        <v>430</v>
      </c>
      <c r="G10" s="6">
        <v>445</v>
      </c>
      <c r="H10" s="6">
        <v>0</v>
      </c>
      <c r="I10" s="6">
        <v>0</v>
      </c>
      <c r="J10" s="6"/>
      <c r="K10" s="6"/>
      <c r="L10" s="6"/>
      <c r="M10" s="6"/>
      <c r="N10" s="6"/>
      <c r="O10" s="6"/>
      <c r="P10" s="6"/>
      <c r="Q10" s="6"/>
    </row>
    <row r="11" spans="1:17">
      <c r="A11" s="6">
        <v>10</v>
      </c>
      <c r="B11" s="6">
        <v>0</v>
      </c>
      <c r="E11" s="6">
        <v>15</v>
      </c>
      <c r="F11" s="6">
        <v>0</v>
      </c>
      <c r="G11" s="6">
        <v>15</v>
      </c>
      <c r="H11" s="6">
        <v>0</v>
      </c>
      <c r="I11" s="6">
        <v>0</v>
      </c>
      <c r="J11" s="6"/>
      <c r="L11" s="6"/>
      <c r="M11" s="6"/>
      <c r="N11" s="6"/>
      <c r="O11" s="6"/>
      <c r="P11" s="6"/>
      <c r="Q11" s="6"/>
    </row>
    <row r="12" spans="1:17">
      <c r="A12" s="6">
        <v>11</v>
      </c>
      <c r="B12" s="6">
        <v>60</v>
      </c>
      <c r="E12" s="6">
        <v>15</v>
      </c>
      <c r="F12" s="6">
        <v>0</v>
      </c>
      <c r="G12" s="6">
        <v>15</v>
      </c>
      <c r="H12" s="6">
        <v>0</v>
      </c>
      <c r="I12" s="6">
        <v>0</v>
      </c>
      <c r="J12" s="6"/>
      <c r="L12" s="6"/>
      <c r="M12" s="6"/>
      <c r="N12" s="6"/>
      <c r="O12" s="6"/>
      <c r="P12" s="6"/>
      <c r="Q12" s="6"/>
    </row>
    <row r="13" spans="1:17">
      <c r="A13" s="6">
        <v>12</v>
      </c>
      <c r="B13" s="6">
        <v>52</v>
      </c>
      <c r="E13" s="6">
        <v>180</v>
      </c>
      <c r="F13" s="6">
        <v>0</v>
      </c>
      <c r="G13" s="6">
        <v>180</v>
      </c>
      <c r="H13" s="6">
        <v>0</v>
      </c>
      <c r="I13" s="6">
        <v>0</v>
      </c>
      <c r="J13" s="6"/>
      <c r="L13" s="6"/>
      <c r="M13" s="6"/>
      <c r="N13" s="6"/>
      <c r="O13" s="6"/>
      <c r="P13" s="6"/>
      <c r="Q13" s="6"/>
    </row>
    <row r="14" spans="1:17">
      <c r="A14" s="6">
        <v>13</v>
      </c>
      <c r="B14" s="6">
        <v>44</v>
      </c>
      <c r="E14" s="6">
        <v>74</v>
      </c>
      <c r="F14" s="6">
        <v>200</v>
      </c>
      <c r="G14" s="6">
        <v>9307</v>
      </c>
      <c r="H14" s="6">
        <v>0</v>
      </c>
      <c r="I14" s="6">
        <v>0</v>
      </c>
      <c r="J14" s="6"/>
      <c r="L14" s="6"/>
      <c r="M14" s="6"/>
      <c r="N14" s="6"/>
      <c r="O14" s="6"/>
      <c r="P14" s="6"/>
      <c r="Q14" s="6"/>
    </row>
    <row r="15" spans="1:17">
      <c r="A15" s="6">
        <v>14</v>
      </c>
      <c r="B15" s="6">
        <v>0</v>
      </c>
      <c r="E15" s="6">
        <v>0</v>
      </c>
      <c r="F15" s="6">
        <v>285</v>
      </c>
      <c r="G15" s="6">
        <v>0</v>
      </c>
      <c r="H15" s="6">
        <v>0</v>
      </c>
      <c r="I15" s="6">
        <v>0</v>
      </c>
      <c r="J15" s="6"/>
      <c r="L15" s="6"/>
      <c r="M15" s="6"/>
      <c r="N15" s="6"/>
      <c r="O15" s="6"/>
      <c r="P15" s="6"/>
    </row>
    <row r="16" spans="1:17">
      <c r="A16" s="6">
        <v>15</v>
      </c>
      <c r="B16" s="6">
        <v>40</v>
      </c>
      <c r="E16" s="6">
        <v>15</v>
      </c>
      <c r="F16" s="6">
        <v>70</v>
      </c>
      <c r="G16" s="6">
        <v>200</v>
      </c>
      <c r="H16" s="6">
        <v>0</v>
      </c>
      <c r="I16" s="6">
        <v>0</v>
      </c>
      <c r="J16" s="6"/>
      <c r="L16" s="6"/>
      <c r="M16" s="6"/>
      <c r="N16" s="6"/>
      <c r="O16" s="6"/>
      <c r="P16" s="6"/>
    </row>
    <row r="17" spans="1:12">
      <c r="A17" s="6">
        <v>16</v>
      </c>
      <c r="B17" s="6">
        <v>50</v>
      </c>
      <c r="E17" s="6">
        <v>30</v>
      </c>
      <c r="F17" s="6">
        <v>0</v>
      </c>
      <c r="G17" s="6">
        <v>1920</v>
      </c>
      <c r="H17" s="6">
        <v>0</v>
      </c>
      <c r="I17" s="6">
        <v>0</v>
      </c>
      <c r="J17" s="6"/>
      <c r="L17" s="6"/>
    </row>
    <row r="18" spans="1:12">
      <c r="A18" s="6">
        <v>17</v>
      </c>
      <c r="B18" s="6">
        <v>0</v>
      </c>
      <c r="E18" s="6">
        <v>36</v>
      </c>
      <c r="F18" s="6">
        <v>0</v>
      </c>
      <c r="G18" s="6">
        <v>6500</v>
      </c>
      <c r="H18" s="6">
        <v>0</v>
      </c>
      <c r="I18" s="6">
        <v>0</v>
      </c>
      <c r="J18" s="6"/>
      <c r="L18" s="6"/>
    </row>
    <row r="19" spans="1:12">
      <c r="A19" s="6">
        <v>18</v>
      </c>
      <c r="B19" s="6">
        <v>38</v>
      </c>
      <c r="E19" s="6">
        <v>32</v>
      </c>
      <c r="F19" s="6">
        <v>0</v>
      </c>
      <c r="G19" s="6"/>
      <c r="H19" s="6">
        <v>0</v>
      </c>
      <c r="I19" s="6">
        <v>0</v>
      </c>
      <c r="J19" s="6"/>
      <c r="L19" s="6"/>
    </row>
    <row r="20" spans="1:12">
      <c r="A20" s="6">
        <v>19</v>
      </c>
      <c r="B20" s="6">
        <v>62</v>
      </c>
      <c r="E20" s="6">
        <v>35</v>
      </c>
      <c r="F20" s="6">
        <v>0</v>
      </c>
      <c r="G20" s="6"/>
      <c r="H20" s="6">
        <v>0</v>
      </c>
      <c r="L20" s="6"/>
    </row>
    <row r="21" spans="1:12">
      <c r="A21" s="6">
        <v>20</v>
      </c>
      <c r="B21" s="6">
        <v>44</v>
      </c>
      <c r="E21" s="6">
        <v>0</v>
      </c>
      <c r="F21" s="6">
        <v>0</v>
      </c>
      <c r="G21" s="6">
        <v>800</v>
      </c>
      <c r="H21" s="6">
        <v>0</v>
      </c>
      <c r="J21" s="6"/>
      <c r="L21" s="6"/>
    </row>
    <row r="22" spans="1:12">
      <c r="A22" s="6">
        <v>21</v>
      </c>
      <c r="B22" s="6">
        <v>0</v>
      </c>
      <c r="E22" s="6">
        <v>0</v>
      </c>
      <c r="F22" s="6">
        <v>0</v>
      </c>
      <c r="G22" s="6">
        <v>0</v>
      </c>
      <c r="H22" s="6">
        <v>0</v>
      </c>
      <c r="J22" s="6"/>
    </row>
    <row r="23" spans="1:12">
      <c r="A23" s="6">
        <v>22</v>
      </c>
      <c r="B23" s="6">
        <v>74</v>
      </c>
      <c r="E23" s="6">
        <v>0</v>
      </c>
      <c r="F23" s="6">
        <v>0</v>
      </c>
      <c r="G23" s="6">
        <v>0</v>
      </c>
      <c r="H23" s="6">
        <v>0</v>
      </c>
    </row>
    <row r="24" spans="1:12">
      <c r="A24" s="6">
        <v>23</v>
      </c>
      <c r="B24" s="6">
        <v>99</v>
      </c>
      <c r="E24" s="6">
        <v>0</v>
      </c>
      <c r="F24" s="6">
        <v>0</v>
      </c>
      <c r="G24" s="6">
        <v>0</v>
      </c>
      <c r="H24" s="6">
        <v>0</v>
      </c>
    </row>
    <row r="25" spans="1:12">
      <c r="A25" s="6">
        <v>24</v>
      </c>
      <c r="B25" s="6">
        <v>95</v>
      </c>
      <c r="E25" s="6">
        <v>0</v>
      </c>
      <c r="F25" s="6">
        <v>0</v>
      </c>
      <c r="G25" s="6">
        <v>0</v>
      </c>
      <c r="H25" s="6">
        <v>0</v>
      </c>
    </row>
    <row r="26" spans="1:12">
      <c r="A26" s="6">
        <v>25</v>
      </c>
      <c r="B26" s="6">
        <v>80</v>
      </c>
      <c r="E26" s="6">
        <v>0</v>
      </c>
      <c r="F26" s="6">
        <v>0</v>
      </c>
      <c r="G26" s="6">
        <v>0</v>
      </c>
      <c r="H26" s="6">
        <v>0</v>
      </c>
    </row>
    <row r="27" spans="1:12">
      <c r="A27" s="6">
        <v>26</v>
      </c>
      <c r="B27" s="6">
        <v>80</v>
      </c>
      <c r="E27" s="6">
        <v>0</v>
      </c>
      <c r="F27" s="6">
        <v>0</v>
      </c>
      <c r="G27" s="6">
        <v>0</v>
      </c>
      <c r="H27" s="6">
        <v>0</v>
      </c>
    </row>
    <row r="28" spans="1:12">
      <c r="A28" s="6">
        <v>27</v>
      </c>
      <c r="B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12">
      <c r="A29" s="6">
        <v>28</v>
      </c>
      <c r="B29" s="6">
        <v>50</v>
      </c>
      <c r="E29" s="6">
        <v>0</v>
      </c>
      <c r="F29" s="6">
        <v>0</v>
      </c>
      <c r="G29" s="6">
        <v>0</v>
      </c>
      <c r="H29" s="6">
        <v>0</v>
      </c>
    </row>
    <row r="30" spans="1:12">
      <c r="A30" s="6">
        <v>29</v>
      </c>
      <c r="B30" s="6">
        <v>100</v>
      </c>
      <c r="E30" s="6">
        <v>50</v>
      </c>
      <c r="F30" s="6">
        <v>0</v>
      </c>
      <c r="G30" s="6">
        <v>0</v>
      </c>
      <c r="H30" s="6">
        <v>0</v>
      </c>
    </row>
    <row r="31" spans="1:12">
      <c r="A31" s="6">
        <v>30</v>
      </c>
      <c r="B31" s="6">
        <v>0</v>
      </c>
      <c r="C31" s="6"/>
      <c r="D31" s="6"/>
      <c r="E31" s="6">
        <v>50</v>
      </c>
      <c r="F31" s="6">
        <v>0</v>
      </c>
      <c r="G31" s="6">
        <v>0</v>
      </c>
      <c r="H31" s="6">
        <v>0</v>
      </c>
    </row>
    <row r="32" spans="1:12">
      <c r="A32" s="6" t="s">
        <v>172</v>
      </c>
      <c r="B32" s="6">
        <v>1374</v>
      </c>
      <c r="C32" s="6">
        <v>1435</v>
      </c>
      <c r="D32" s="6">
        <v>1641</v>
      </c>
      <c r="E32" s="6">
        <v>1029</v>
      </c>
      <c r="F32" s="6">
        <v>2400</v>
      </c>
      <c r="G32" s="6">
        <v>30577</v>
      </c>
      <c r="H32" s="6">
        <v>0</v>
      </c>
      <c r="I32" s="6">
        <v>0</v>
      </c>
      <c r="J32" s="6">
        <v>3401</v>
      </c>
      <c r="K3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 Aug-2026</vt:lpstr>
      <vt:lpstr>EXPENSES Aug 2026</vt:lpstr>
      <vt:lpstr>Manager-Details of expensesJul-</vt:lpstr>
      <vt:lpstr>SCHOOL PAYMENT  JUNE 2026</vt:lpstr>
      <vt:lpstr>Sheet4</vt:lpstr>
      <vt:lpstr>Substitute-JUl-2026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Shanmugham Sundaram</dc:creator>
  <cp:lastModifiedBy>Office</cp:lastModifiedBy>
  <dcterms:created xsi:type="dcterms:W3CDTF">2026-09-18T10:31:57Z</dcterms:created>
  <dcterms:modified xsi:type="dcterms:W3CDTF">2026-09-18T10:36:28Z</dcterms:modified>
</cp:coreProperties>
</file>